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dre\OneDrive\Documents\Arduino\MIE444\MIE444-MazeNavigatingRover\ClassFiles\"/>
    </mc:Choice>
  </mc:AlternateContent>
  <xr:revisionPtr revIDLastSave="0" documentId="8_{A66D2B24-B365-4A56-8910-9F2142C307EB}" xr6:coauthVersionLast="47" xr6:coauthVersionMax="47" xr10:uidLastSave="{00000000-0000-0000-0000-000000000000}"/>
  <bookViews>
    <workbookView xWindow="-93" yWindow="-93" windowWidth="20186" windowHeight="12920" activeTab="1" xr2:uid="{00000000-000D-0000-FFFF-FFFF00000000}"/>
  </bookViews>
  <sheets>
    <sheet name="OrdersNew" sheetId="17" r:id="rId1"/>
    <sheet name="PurchaseOrder" sheetId="30" r:id="rId2"/>
    <sheet name="Dev" sheetId="31" state="hidden" r:id="rId3"/>
  </sheets>
  <functionGroups builtInGroupCount="19"/>
  <definedNames>
    <definedName name="_categories">#REF!</definedName>
    <definedName name="_components">#REF!</definedName>
    <definedName name="_connect">#REF!</definedName>
    <definedName name="_MCU">#REF!</definedName>
    <definedName name="_modules">#REF!</definedName>
    <definedName name="_motors">#REF!</definedName>
    <definedName name="_power">#REF!</definedName>
    <definedName name="_sensors">#REF!</definedName>
    <definedName name="CATEGORY">#REF!</definedName>
    <definedName name="Comp">#REF!</definedName>
    <definedName name="COMPONENTS">#REF!</definedName>
    <definedName name="Connect">#REF!</definedName>
    <definedName name="COST">#REF!</definedName>
    <definedName name="FullName" localSheetId="0">#REF!</definedName>
    <definedName name="FullName">#REF!</definedName>
    <definedName name="FullTable" localSheetId="0">#REF!</definedName>
    <definedName name="FullTable">#REF!</definedName>
    <definedName name="Image" localSheetId="0">#REF!</definedName>
    <definedName name="Image">#REF!</definedName>
    <definedName name="IMAGES">#REF!</definedName>
    <definedName name="Motor">#REF!</definedName>
    <definedName name="Power">#REF!</definedName>
    <definedName name="_xlnm.Print_Area" localSheetId="1">PurchaseOrder!$D$1:$K$101</definedName>
  </definedNames>
  <calcPr calcId="191028"/>
  <pivotCaches>
    <pivotCache cacheId="0" r:id="rId4"/>
    <pivotCache cacheId="1" r:id="rId5"/>
    <pivotCache cacheId="2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0" i="30" l="1"/>
  <c r="K39" i="30"/>
  <c r="K38" i="30"/>
  <c r="K37" i="30"/>
  <c r="K36" i="30"/>
  <c r="K35" i="30"/>
  <c r="K34" i="30"/>
  <c r="K33" i="30"/>
  <c r="K32" i="30"/>
  <c r="K31" i="30"/>
  <c r="K30" i="30"/>
  <c r="K29" i="30"/>
  <c r="K28" i="30"/>
  <c r="K27" i="30"/>
  <c r="K26" i="30"/>
  <c r="K25" i="30"/>
  <c r="K24" i="30"/>
  <c r="K23" i="30"/>
  <c r="K22" i="30"/>
  <c r="K21" i="30"/>
  <c r="K20" i="30"/>
  <c r="K19" i="30"/>
  <c r="K18" i="30"/>
  <c r="K17" i="30"/>
  <c r="K16" i="30"/>
  <c r="K15" i="30"/>
  <c r="K14" i="30"/>
  <c r="K13" i="30"/>
  <c r="K12" i="30"/>
  <c r="K11" i="30"/>
  <c r="K10" i="30"/>
  <c r="K9" i="30"/>
  <c r="K8" i="30"/>
  <c r="K7" i="30"/>
  <c r="I1" i="17" a="1"/>
  <c r="I1" i="17" s="1"/>
  <c r="I4" i="3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odcFile="C:\Users\Lorena\Downloads\queryCourseKit.iqy" keepAlive="1" name="queryCourseKit" type="5" refreshedVersion="6" minRefreshableVersion="3" saveData="1">
    <dbPr connection="Provider=Microsoft.Office.List.OLEDB.2.0;Data Source=&quot;&quot;;ApplicationName=Excel;Version=12.0.0.0" command="&lt;LIST&gt;&lt;VIEWGUID&gt;47162AD7-B24C-4887-99CF-8B061B4B6204&lt;/VIEWGUID&gt;&lt;LISTNAME&gt;{4EA97AD9-13A0-4D44-9878-BC743412BF1D}&lt;/LISTNAME&gt;&lt;LISTWEB&gt;https://utoronto.sharepoint.com/sites/fase-myhalfabrication/_vti_bin&lt;/LISTWEB&gt;&lt;LISTSUBWEB&gt;&lt;/LISTSUBWEB&gt;&lt;ROOTFOLDER&gt;&lt;/ROOTFOLDER&gt;&lt;/LIST&gt;" commandType="5"/>
  </connection>
  <connection id="2" xr16:uid="{A78EC274-E1AB-441D-A0A4-D75AF0CBDA50}" odcFile="C:\Users\Staff\AppData\Local\Temp\query.iqy" keepAlive="1" name="queryElectronicsWorks1" type="5" refreshedVersion="6" minRefreshableVersion="3" saveData="1">
    <dbPr connection="Provider=Microsoft.Office.List.OLEDB.2.0;Data Source=&quot;&quot;;ApplicationName=Excel;Version=12.0.0.0" command="&lt;LIST&gt;&lt;VIEWGUID&gt;63D050C7-CD69-4C30-B79C-8E602F41BCEF&lt;/VIEWGUID&gt;&lt;LISTNAME&gt;{95AFCDF0-A858-4BAE-BDF5-2A4B150E6725}&lt;/LISTNAME&gt;&lt;LISTWEB&gt;https://utoronto.sharepoint.com/sites/fase-myhalfabrication/_vti_bin&lt;/LISTWEB&gt;&lt;LISTSUBWEB&gt;&lt;/LISTSUBWEB&gt;&lt;ROOTFOLDER&gt;&lt;/ROOTFOLDER&gt;&lt;/LIST&gt;" commandType="5"/>
  </connection>
  <connection id="3" xr16:uid="{2D2AC4A5-FCE9-4A1B-81E4-10828ACBAF9F}" odcFile="C:\Users\Staff\AppData\Local\Temp\query-2.iqy" keepAlive="1" name="query-MaterialsNew" type="5" refreshedVersion="8" minRefreshableVersion="3" saveData="1">
    <dbPr connection="Provider=Microsoft.Office.List.OLEDB.2.0;Data Source=&quot;&quot;;ApplicationName=Excel;Version=12.0.0.0" command="&lt;LIST&gt;&lt;VIEWGUID&gt;606793A8-71D1-43F6-97A6-DF54E04A3F8D&lt;/VIEWGUID&gt;&lt;LISTNAME&gt;{AEB7D832-2F72-4291-AAE6-855B9448C777}&lt;/LISTNAME&gt;&lt;LISTWEB&gt;https://utoronto.sharepoint.com/sites/fase-myhalfabrication/_vti_bin&lt;/LISTWEB&gt;&lt;LISTSUBWEB&gt;&lt;/LISTSUBWEB&gt;&lt;ROOTFOLDER&gt;&lt;/ROOTFOLDER&gt;&lt;/LIST&gt;" commandType="5"/>
  </connection>
  <connection id="4" xr16:uid="{364FE50C-EA05-47E5-850D-A8B51371AC11}" odcFile="C:\Users\Staff\AppData\Local\Temp\query-3.iqy" keepAlive="1" name="query-Mechatronics" type="5" refreshedVersion="8" minRefreshableVersion="3" saveData="1">
    <dbPr connection="Provider=Microsoft.Office.List.OLEDB.2.0;Data Source=&quot;&quot;;ApplicationName=Excel;Version=12.0.0.0" command="&lt;LIST&gt;&lt;VIEWGUID&gt;05E7175B-9766-4FD8-81FD-3D7C502A96C5&lt;/VIEWGUID&gt;&lt;LISTNAME&gt;{95AFCDF0-A858-4BAE-BDF5-2A4B150E6725}&lt;/LISTNAME&gt;&lt;LISTWEB&gt;https://utoronto.sharepoint.com/sites/fase-myhalfabrication/_vti_bin&lt;/LISTWEB&gt;&lt;LISTSUBWEB&gt;&lt;/LISTSUBWEB&gt;&lt;ROOTFOLDER&gt;&lt;/ROOTFOLDER&gt;&lt;/LIST&gt;" commandType="5"/>
  </connection>
  <connection id="5" xr16:uid="{00000000-0015-0000-FFFF-FFFF04000000}" odcFile="C:\Users\Lorena\Downloads\querySpecialtyHardware.iqy" keepAlive="1" name="querySpecialtyHardware" type="5" refreshedVersion="6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  <connection id="6" xr16:uid="{D0E87A97-7F93-4B0D-87CE-C9EE308FD9C3}" odcFile="C:\Users\Staff\AppData\Local\Temp\query-3.iqy" keepAlive="1" name="query-SpecialtyHardware" type="5" refreshedVersion="7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  <connection id="7" xr16:uid="{439DFF1A-2495-412E-BFDC-414051D65475}" odcFile="C:\Users\Staff\AppData\Local\Temp\query-1.iqy" keepAlive="1" name="query-SpecialtyhardwareWorks1" type="5" refreshedVersion="8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<sst xmlns="http://schemas.openxmlformats.org/spreadsheetml/2006/main" count="400" uniqueCount="132">
  <si>
    <t>Mechatronics List</t>
  </si>
  <si>
    <t>Materials List</t>
  </si>
  <si>
    <t>Hardware List</t>
  </si>
  <si>
    <t>Filename</t>
  </si>
  <si>
    <t>Category</t>
  </si>
  <si>
    <t>Spec sheet</t>
  </si>
  <si>
    <t>RentalCost</t>
  </si>
  <si>
    <t>Rental</t>
  </si>
  <si>
    <t>OutOfStock</t>
  </si>
  <si>
    <t>UnitSize</t>
  </si>
  <si>
    <t>Cost</t>
  </si>
  <si>
    <t>OutOfStock2</t>
  </si>
  <si>
    <t>Specs</t>
  </si>
  <si>
    <t>22awg solid black 1 ft</t>
  </si>
  <si>
    <t>Connect</t>
  </si>
  <si>
    <t>http://www.cnctech.us/pdfs/UL%2010982%20AWG%2022.pdf
http://www.cnctech.us/pdfs/UL%2010982%20AWG%2022.pdf</t>
  </si>
  <si>
    <t>Final Sale</t>
  </si>
  <si>
    <t>(blank)</t>
  </si>
  <si>
    <t>18"x24"</t>
  </si>
  <si>
    <t>Out of Stock</t>
  </si>
  <si>
    <t>22awg solid blue 1 ft</t>
  </si>
  <si>
    <t>https://www.alphawire.com/products/wire/hook-up-wire/premium/3051_1/
https://www.alphawire.com/products/wire/hook-up-wire/premium/3051_1/</t>
  </si>
  <si>
    <t>22awg solid red 1ft</t>
  </si>
  <si>
    <t>Washers</t>
  </si>
  <si>
    <t>22awg solid violet 1ft</t>
  </si>
  <si>
    <t>22awg solid yellow 1ft</t>
  </si>
  <si>
    <t>Machine screws</t>
  </si>
  <si>
    <t>22awg solig green 1 ft</t>
  </si>
  <si>
    <t>3-Position Breakout</t>
  </si>
  <si>
    <t>https://www.mouser.ca/datasheet/2/595/BB-TERM3-471790.pdf
https://www.mouser.ca/datasheet/2/595/BB-TERM3-471790.pdf</t>
  </si>
  <si>
    <t>Power</t>
  </si>
  <si>
    <t>AC-DC power supply 12V 5A</t>
  </si>
  <si>
    <t>-</t>
  </si>
  <si>
    <t>Nuts</t>
  </si>
  <si>
    <t>Component</t>
  </si>
  <si>
    <t xml:space="preserve">Dupont Connector 2 pin </t>
  </si>
  <si>
    <t>Dupont Connector 3 pin</t>
  </si>
  <si>
    <t>Dupont Connector 5 pin</t>
  </si>
  <si>
    <t>Dupont Connector Reed F (10 units)</t>
  </si>
  <si>
    <t>Dupont Connector Reed M (10 units)</t>
  </si>
  <si>
    <t>F-M Stackable Header 4 pin</t>
  </si>
  <si>
    <t xml:space="preserve">Hex Standoff M3  8.00mm F-M </t>
  </si>
  <si>
    <t>Hardware</t>
  </si>
  <si>
    <t>https://www.we-online.com/katalog/datasheet/971100354.pdf
https://www.we-online.com/katalog/datasheet/971100354.pdf</t>
  </si>
  <si>
    <t>Hex Standoff M3 50mm M-F</t>
  </si>
  <si>
    <t>https://www.we-online.com/katalog/datasheet/971500324.pdf
https://www.we-online.com/katalog/datasheet/971500324.pdf</t>
  </si>
  <si>
    <t>LED</t>
  </si>
  <si>
    <t>https://learn.adafruit.com/all-about-leds/the-led-datasheet
https://learn.adafruit.com/all-about-leds/the-led-datasheet</t>
  </si>
  <si>
    <t>Hex nut M3 pitch 0.5</t>
  </si>
  <si>
    <t>M3 Locknut</t>
  </si>
  <si>
    <t>M3</t>
  </si>
  <si>
    <t>PCB receptacle board to board 4pos 1 ros</t>
  </si>
  <si>
    <t>https://www.farnell.com/datasheets/185042.pdf?_ga=2.21328568.2054498849.1629474812-1963937051.1613669872&amp;_gac=1.118996091.1629474812.Cj0KCQjwpf2IBhDkARIsAGVo0D3Nq0169lJZwweYV3jyhYvTXDjXJhqs6YIh56RBfJMwRF8xWkWAw-8aAg8CEALw_wcB
https://www.farnell.com/datasheets/185042.pdf?_ga=2.21328568.2054498849.1629474812-1963937051.1613669872&amp;_gac=1.118996091.1629474812.Cj0KCQjwpf2IBhDkARIsAGVo0D3Nq0169lJZwweYV3jyhYvTXDjXJhqs6YIh56RBfJMwRF8xWkWAw-8aAg8CEALw_wcB</t>
  </si>
  <si>
    <t>M3 pitch 0.50- 10mm</t>
  </si>
  <si>
    <t>10 mm</t>
  </si>
  <si>
    <t>M3 pitch 0.50- 12mm</t>
  </si>
  <si>
    <t>12 mm</t>
  </si>
  <si>
    <t>Pin header 40 contacts</t>
  </si>
  <si>
    <t>https://www.we-online.com/katalog/datasheet/61304011121.pdf
https://www.we-online.com/katalog/datasheet/61304011121.pdf</t>
  </si>
  <si>
    <t>M3 pitch 0.50- 25mm</t>
  </si>
  <si>
    <t>25 mm</t>
  </si>
  <si>
    <t>M3 pitch 0.50- 35mm</t>
  </si>
  <si>
    <t>35 mm</t>
  </si>
  <si>
    <t>M3 pitch 0.50- 5mm</t>
  </si>
  <si>
    <t>5mm</t>
  </si>
  <si>
    <t>M3 Washers</t>
  </si>
  <si>
    <t>Solder Breadboard (10row x 5column)</t>
  </si>
  <si>
    <t>https://www.mouser.ca/datasheet/2/73/SBB1005_1-2488414.pdf
https://www.mouser.ca/datasheet/2/73/SBB1005_1-2488414.pdf</t>
  </si>
  <si>
    <t>Solder Breadboard (16row x 5column)</t>
  </si>
  <si>
    <t>https://www.mouser.ca/datasheet/2/73/SBB1605_1-2488593.pdf
https://www.mouser.ca/datasheet/2/73/SBB1605_1-2488593.pdf</t>
  </si>
  <si>
    <t>USB to Micro USB cable</t>
  </si>
  <si>
    <t>https://www.seielect.com/catalog/sei-cf_cfm.pdf
https://www.seielect.com/catalog/sei-cf_cfm.pdf</t>
  </si>
  <si>
    <t>330 ohms resistor</t>
  </si>
  <si>
    <t>1 Kohms resistor</t>
  </si>
  <si>
    <t xml:space="preserve">MYFab Purchase order form </t>
  </si>
  <si>
    <t>UtorID</t>
  </si>
  <si>
    <t>Total (CAD)</t>
  </si>
  <si>
    <t>Description</t>
  </si>
  <si>
    <t>Specs/Category</t>
  </si>
  <si>
    <t>Quantity</t>
  </si>
  <si>
    <t>Unit $</t>
  </si>
  <si>
    <t>Terms</t>
  </si>
  <si>
    <t>Subtotal</t>
  </si>
  <si>
    <t xml:space="preserve">Notes: </t>
  </si>
  <si>
    <t>Only modify the column Quantity</t>
  </si>
  <si>
    <t>When done Print and submit the pdf</t>
  </si>
  <si>
    <t>If met with error "The specified file is read only", close the purchase order that is open in the pdf viewer</t>
  </si>
  <si>
    <t>ID</t>
  </si>
  <si>
    <t>IDSpecialtyHardware</t>
  </si>
  <si>
    <t>23 HARDWARE</t>
  </si>
  <si>
    <t>92 HARDWARE</t>
  </si>
  <si>
    <t>15 HARDWARE</t>
  </si>
  <si>
    <t>16 HARDWARE</t>
  </si>
  <si>
    <t>18 HARDWARE</t>
  </si>
  <si>
    <t>19 HARDWARE</t>
  </si>
  <si>
    <t>12 HARDWARE</t>
  </si>
  <si>
    <t>48 HARDWARE</t>
  </si>
  <si>
    <t>IDMECHATRONICS</t>
  </si>
  <si>
    <t>9 MECHATRONICS</t>
  </si>
  <si>
    <t>10 MECHATRONICS</t>
  </si>
  <si>
    <t>60 MECHATRONICS</t>
  </si>
  <si>
    <t>43 MECHATRONICS</t>
  </si>
  <si>
    <t>44 MECHATRONICS</t>
  </si>
  <si>
    <t>59 MECHATRONICS</t>
  </si>
  <si>
    <t>64 MECHATRONICS</t>
  </si>
  <si>
    <t>1 MECHATRONICS</t>
  </si>
  <si>
    <t>78 MECHATRONICS</t>
  </si>
  <si>
    <t>79 MECHATRONICS</t>
  </si>
  <si>
    <t>80 MECHATRONICS</t>
  </si>
  <si>
    <t>88 MECHATRONICS</t>
  </si>
  <si>
    <t>89 MECHATRONICS</t>
  </si>
  <si>
    <t>86 MECHATRONICS</t>
  </si>
  <si>
    <t>72 MECHATRONICS</t>
  </si>
  <si>
    <t>71 MECHATRONICS</t>
  </si>
  <si>
    <t>68 MECHATRONICS</t>
  </si>
  <si>
    <t>40 MECHATRONICS</t>
  </si>
  <si>
    <t>12 MECHATRONICS</t>
  </si>
  <si>
    <t>11 MECHATRONICS</t>
  </si>
  <si>
    <t>6 MECHATRONICS</t>
  </si>
  <si>
    <t>7 MECHATRONICS</t>
  </si>
  <si>
    <t>8 MECHATRONICS</t>
  </si>
  <si>
    <t>120 MECHATRONICS</t>
  </si>
  <si>
    <t>121 MECHATRONICS</t>
  </si>
  <si>
    <t>IDMaterials</t>
  </si>
  <si>
    <t>Hex Standoff M3 10.00mm F-M</t>
  </si>
  <si>
    <t>Birch Ply 1/8"</t>
  </si>
  <si>
    <t>3 MATERIALS</t>
  </si>
  <si>
    <t>External</t>
  </si>
  <si>
    <t>Raspberry Pi 4 4GB RAM</t>
  </si>
  <si>
    <t>203 MECHATRONICS</t>
  </si>
  <si>
    <t>USB Micro-B power supply for RPI</t>
  </si>
  <si>
    <t>205 MECHATRONICS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</si>
</sst>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&quot;$&quot;#,##0.00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b/>
      <sz val="18"/>
      <color theme="1"/>
      <name val="Century Gothic"/>
      <family val="2"/>
    </font>
    <font>
      <sz val="13"/>
      <color theme="1"/>
      <name val="Century Gothic"/>
      <family val="2"/>
    </font>
    <font>
      <b/>
      <sz val="13"/>
      <color theme="0"/>
      <name val="Century Gothic"/>
      <family val="2"/>
    </font>
    <font>
      <b/>
      <sz val="13"/>
      <color theme="1"/>
      <name val="Century Gothic"/>
      <family val="2"/>
    </font>
    <font>
      <b/>
      <sz val="15"/>
      <color theme="1"/>
      <name val="Century Gothic"/>
      <family val="2"/>
    </font>
    <font>
      <sz val="13"/>
      <name val="Century Gothic"/>
      <family val="2"/>
    </font>
    <font>
      <sz val="14"/>
      <color theme="1"/>
      <name val="Calibri"/>
      <family val="2"/>
      <scheme val="minor"/>
    </font>
    <font>
      <b/>
      <sz val="14"/>
      <color rgb="FF339966"/>
      <name val="Century Gothic"/>
      <family val="2"/>
    </font>
    <font>
      <b/>
      <sz val="14"/>
      <color rgb="FF3366FF"/>
      <name val="Century Gothic"/>
      <family val="2"/>
    </font>
    <font>
      <b/>
      <sz val="14"/>
      <color rgb="FFFF6600"/>
      <name val="Century Gothic"/>
      <family val="2"/>
    </font>
    <font>
      <b/>
      <sz val="11"/>
      <color rgb="FFFF0000"/>
      <name val="Century Gothic"/>
      <family val="2"/>
    </font>
    <font>
      <b/>
      <sz val="11"/>
      <color rgb="FFFF6600"/>
      <name val="Century Gothic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164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Protection="1">
      <protection locked="0"/>
    </xf>
    <xf numFmtId="0" fontId="21" fillId="0" borderId="0" xfId="0" applyFont="1"/>
    <xf numFmtId="0" fontId="24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right"/>
    </xf>
    <xf numFmtId="0" fontId="21" fillId="0" borderId="10" xfId="0" applyFont="1" applyBorder="1"/>
    <xf numFmtId="165" fontId="22" fillId="34" borderId="13" xfId="42" applyNumberFormat="1" applyFont="1" applyFill="1" applyBorder="1"/>
    <xf numFmtId="0" fontId="26" fillId="0" borderId="0" xfId="0" pivotButton="1" applyFont="1"/>
    <xf numFmtId="0" fontId="26" fillId="0" borderId="0" xfId="0" applyFont="1"/>
    <xf numFmtId="0" fontId="26" fillId="0" borderId="0" xfId="0" applyFont="1" applyProtection="1">
      <protection locked="0"/>
    </xf>
    <xf numFmtId="0" fontId="25" fillId="0" borderId="0" xfId="0" applyFont="1" applyAlignment="1">
      <alignment horizontal="center" vertical="center"/>
    </xf>
    <xf numFmtId="0" fontId="19" fillId="33" borderId="0" xfId="0" applyFont="1" applyFill="1"/>
    <xf numFmtId="0" fontId="20" fillId="34" borderId="0" xfId="0" applyFont="1" applyFill="1" applyProtection="1">
      <protection locked="0"/>
    </xf>
    <xf numFmtId="0" fontId="21" fillId="0" borderId="0" xfId="0" applyFont="1" applyAlignment="1">
      <alignment wrapText="1"/>
    </xf>
    <xf numFmtId="0" fontId="21" fillId="0" borderId="0" xfId="0" applyFont="1" applyAlignment="1">
      <alignment horizontal="center" vertical="center" wrapText="1"/>
    </xf>
    <xf numFmtId="0" fontId="19" fillId="33" borderId="0" xfId="0" applyFont="1" applyFill="1"/>
    <xf numFmtId="0" fontId="20" fillId="34" borderId="20" xfId="0" applyFont="1" applyFill="1" applyBorder="1" applyProtection="1">
      <protection locked="0"/>
    </xf>
    <xf numFmtId="0" fontId="20" fillId="34" borderId="0" xfId="0" applyFont="1" applyFill="1" applyProtection="1">
      <protection locked="0"/>
    </xf>
    <xf numFmtId="0" fontId="20" fillId="36" borderId="20" xfId="0" applyFont="1" applyFill="1" applyBorder="1" applyAlignment="1" applyProtection="1">
      <alignment horizontal="center"/>
      <protection locked="0"/>
    </xf>
    <xf numFmtId="0" fontId="20" fillId="36" borderId="0" xfId="0" applyFont="1" applyFill="1" applyAlignment="1" applyProtection="1">
      <alignment horizontal="center"/>
      <protection locked="0"/>
    </xf>
    <xf numFmtId="0" fontId="0" fillId="33" borderId="0" xfId="0" applyFill="1" applyAlignment="1" applyProtection="1">
      <alignment horizontal="center"/>
      <protection locked="0"/>
    </xf>
    <xf numFmtId="0" fontId="0" fillId="33" borderId="0" xfId="0" applyFill="1" applyProtection="1">
      <protection locked="0"/>
    </xf>
    <xf numFmtId="0" fontId="20" fillId="35" borderId="20" xfId="0" applyFont="1" applyFill="1" applyBorder="1" applyProtection="1">
      <protection locked="0"/>
    </xf>
    <xf numFmtId="0" fontId="20" fillId="35" borderId="0" xfId="0" applyFont="1" applyFill="1" applyProtection="1">
      <protection locked="0"/>
    </xf>
    <xf numFmtId="0" fontId="20" fillId="0" borderId="15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23" fillId="0" borderId="0" xfId="0" applyFont="1" applyAlignment="1">
      <alignment wrapText="1"/>
    </xf>
    <xf numFmtId="0" fontId="22" fillId="34" borderId="11" xfId="0" applyFont="1" applyFill="1" applyBorder="1" applyAlignment="1">
      <alignment horizontal="center"/>
    </xf>
    <xf numFmtId="0" fontId="22" fillId="34" borderId="12" xfId="0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0"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ill>
        <patternFill>
          <bgColor rgb="FFFF7C80"/>
        </patternFill>
      </fill>
    </dxf>
    <dxf>
      <fill>
        <gradientFill degree="90">
          <stop position="0">
            <color theme="0"/>
          </stop>
          <stop position="1">
            <color theme="9"/>
          </stop>
        </gradientFill>
      </fill>
    </dxf>
    <dxf>
      <fill>
        <gradientFill degree="90">
          <stop position="0">
            <color theme="0"/>
          </stop>
          <stop position="1">
            <color theme="5"/>
          </stop>
        </gradientFill>
      </fill>
    </dxf>
    <dxf>
      <font>
        <strike/>
      </font>
    </dxf>
    <dxf>
      <font>
        <strike/>
      </font>
    </dxf>
    <dxf>
      <font>
        <strike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auto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</dxfs>
  <tableStyles count="0" defaultTableStyle="TableStyleMedium2" defaultPivotStyle="PivotStyleLight16"/>
  <colors>
    <mruColors>
      <color rgb="FFFF7C80"/>
      <color rgb="FFFF0000"/>
      <color rgb="FFF9ADA5"/>
      <color rgb="FFF255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sheetMetadata" Target="metadata.xml"/><Relationship Id="rId5" Type="http://schemas.openxmlformats.org/officeDocument/2006/relationships/pivotCacheDefinition" Target="pivotCache/pivotCacheDefinition2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67733</xdr:colOff>
          <xdr:row>0</xdr:row>
          <xdr:rowOff>46567</xdr:rowOff>
        </xdr:from>
        <xdr:to>
          <xdr:col>6</xdr:col>
          <xdr:colOff>1629833</xdr:colOff>
          <xdr:row>0</xdr:row>
          <xdr:rowOff>381000</xdr:rowOff>
        </xdr:to>
        <xdr:sp macro="" textlink="">
          <xdr:nvSpPr>
            <xdr:cNvPr id="12300" name="Button 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339966"/>
                  </a:solidFill>
                  <a:latin typeface="Century Gothic"/>
                </a:rPr>
                <a:t>Add mechatronics components to Purchase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38100</xdr:rowOff>
        </xdr:from>
        <xdr:to>
          <xdr:col>13</xdr:col>
          <xdr:colOff>1240367</xdr:colOff>
          <xdr:row>0</xdr:row>
          <xdr:rowOff>389467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0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3366FF"/>
                  </a:solidFill>
                  <a:latin typeface="Century Gothic"/>
                </a:rPr>
                <a:t>Add materials to Purchase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59267</xdr:colOff>
          <xdr:row>0</xdr:row>
          <xdr:rowOff>38100</xdr:rowOff>
        </xdr:from>
        <xdr:to>
          <xdr:col>20</xdr:col>
          <xdr:colOff>1811867</xdr:colOff>
          <xdr:row>0</xdr:row>
          <xdr:rowOff>389467</xdr:rowOff>
        </xdr:to>
        <xdr:sp macro="" textlink="">
          <xdr:nvSpPr>
            <xdr:cNvPr id="12303" name="Button 15" descr="Add hardware or Course Kit to Purchase order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0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FF6600"/>
                  </a:solidFill>
                  <a:latin typeface="Century Gothic"/>
                </a:rPr>
                <a:t>Add hardware or Course Kit to Purchase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237067</xdr:colOff>
          <xdr:row>0</xdr:row>
          <xdr:rowOff>190500</xdr:rowOff>
        </xdr:from>
        <xdr:to>
          <xdr:col>3</xdr:col>
          <xdr:colOff>1782233</xdr:colOff>
          <xdr:row>1</xdr:row>
          <xdr:rowOff>287867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1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Century Gothic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884767</xdr:colOff>
          <xdr:row>0</xdr:row>
          <xdr:rowOff>198967</xdr:rowOff>
        </xdr:from>
        <xdr:to>
          <xdr:col>10</xdr:col>
          <xdr:colOff>732367</xdr:colOff>
          <xdr:row>1</xdr:row>
          <xdr:rowOff>296333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1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6600"/>
                  </a:solidFill>
                  <a:latin typeface="Century Gothic"/>
                </a:rPr>
                <a:t>Print Purchase order (jpg)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11</xdr:row>
          <xdr:rowOff>8467</xdr:rowOff>
        </xdr:from>
        <xdr:to>
          <xdr:col>10</xdr:col>
          <xdr:colOff>59267</xdr:colOff>
          <xdr:row>14</xdr:row>
          <xdr:rowOff>59267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601133</xdr:colOff>
          <xdr:row>16</xdr:row>
          <xdr:rowOff>173567</xdr:rowOff>
        </xdr:from>
        <xdr:to>
          <xdr:col>9</xdr:col>
          <xdr:colOff>182033</xdr:colOff>
          <xdr:row>18</xdr:row>
          <xdr:rowOff>152400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7</xdr:row>
          <xdr:rowOff>84667</xdr:rowOff>
        </xdr:from>
        <xdr:to>
          <xdr:col>11</xdr:col>
          <xdr:colOff>190500</xdr:colOff>
          <xdr:row>9</xdr:row>
          <xdr:rowOff>67733</xdr:rowOff>
        </xdr:to>
        <xdr:sp macro="" textlink="">
          <xdr:nvSpPr>
            <xdr:cNvPr id="21507" name="CommandButton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97367</xdr:colOff>
          <xdr:row>4</xdr:row>
          <xdr:rowOff>135467</xdr:rowOff>
        </xdr:from>
        <xdr:to>
          <xdr:col>16</xdr:col>
          <xdr:colOff>182033</xdr:colOff>
          <xdr:row>6</xdr:row>
          <xdr:rowOff>114300</xdr:rowOff>
        </xdr:to>
        <xdr:sp macro="" textlink="">
          <xdr:nvSpPr>
            <xdr:cNvPr id="21508" name="CommandButton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198967</xdr:colOff>
          <xdr:row>1</xdr:row>
          <xdr:rowOff>67733</xdr:rowOff>
        </xdr:from>
        <xdr:to>
          <xdr:col>10</xdr:col>
          <xdr:colOff>419100</xdr:colOff>
          <xdr:row>3</xdr:row>
          <xdr:rowOff>46567</xdr:rowOff>
        </xdr:to>
        <xdr:sp macro="" textlink="">
          <xdr:nvSpPr>
            <xdr:cNvPr id="21509" name="CommandButton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ff" refreshedDate="44851.703062384258" createdVersion="6" refreshedVersion="8" minRefreshableVersion="3" recordCount="197" xr:uid="{88EADBB7-14A7-4955-A974-271B1ABA614D}">
  <cacheSource type="external" connectionId="4"/>
  <cacheFields count="17">
    <cacheField name="ID" numFmtId="0">
      <sharedItems containsSemiMixedTypes="0" containsString="0" containsNumber="1" containsInteger="1" minValue="1" maxValue="206"/>
    </cacheField>
    <cacheField name="Filename" numFmtId="0">
      <sharedItems count="203">
        <s v="Solder Breadboard (10row x 5column)"/>
        <s v="Solder Breadboard (16row x 5column)"/>
        <s v="22awg solid black 1 ft"/>
        <s v="22awg solid blue 1 ft"/>
        <s v="Pin header 40 contacts"/>
        <s v="PCB receptacle board to board 4pos 1 ros"/>
        <s v="Voltage regulator 3.3 V"/>
        <s v="Relay DPDT 2A 5V"/>
        <s v="Transistor TIP147"/>
        <s v="Resistors"/>
        <s v="Diode 1N4004"/>
        <s v="Analog Temperature sensor"/>
        <s v="LED"/>
        <s v="22awg solid violet 1ft"/>
        <s v="22awg solid yellow 1ft"/>
        <s v="22awg solid brown 1ft"/>
        <s v="Jumper wire M-F"/>
        <s v="Jumper wire F-F"/>
        <s v="Jumper wire M-M"/>
        <s v="22awg solig green 1 ft"/>
        <s v="22awg solid red 1ft"/>
        <s v="Pin header 20 contacts"/>
        <s v="Voltage regulator 12V 7812"/>
        <s v="Voltage regulator negative 5V (7905)"/>
        <s v="Dupont Connector 2 pin "/>
        <s v="Dupont Connector 3 pin"/>
        <s v="Dupont Connector 5 pin"/>
        <s v="Dupont Connector 6 pin"/>
        <s v="Dupont Connecter 7 pin"/>
        <s v="Dupont Connector 8 pin"/>
        <s v="Dupont Connector 9 pin"/>
        <s v="Dupont Connector 10 pin"/>
        <s v="F-M Stackable Header 4 pin"/>
        <s v="F-M Stackable Header 6 pin"/>
        <s v="Dupont Connector Reed F (10 units)"/>
        <s v="Dupont Connector Reed M (10 units)"/>
        <s v="DC Female Connector"/>
        <s v="DC Male Connector"/>
        <s v="Electrolytic Capacitors"/>
        <s v="Ceramic Capacitors"/>
        <s v="Potentiometers"/>
        <s v="Transistor TIP142"/>
        <s v="Voltage regulator 5V (7805)"/>
        <s v="Flexible coupler 5 to 8mm"/>
        <s v="220 ohms resistor"/>
        <s v="330 ohms resistor"/>
        <s v="1 Kohms resistor"/>
        <s v="2 Kohms resistor"/>
        <s v="5.1 Kohms resistor"/>
        <s v="10 Kohms resistor"/>
        <s v="Heat sink"/>
        <s v="LM358-OpAmp"/>
        <s v="Pot 10K Rotary Potentiometer"/>
        <s v="Pot 1k Rotary Potentiometer"/>
        <s v="Pot 100k Rotary Potentiometer"/>
        <s v="DC to DC converter"/>
        <s v="Heat sink SMD"/>
        <s v="Diode 1N4001"/>
        <s v="Pressure sensor gauge"/>
        <s v="Capacitive Moisture Sensor"/>
        <s v="RFM9x Long Range RF"/>
        <s v="RPI PINOIR Camera"/>
        <s v="Raspberry Pi 4 4GB RAM"/>
        <s v="Raspberry Pi 3 A+"/>
        <s v="USB Micro-B power supply for RPI"/>
        <s v="433Mhz wireless RF Switch remote controller"/>
        <s v="AC-DC power supply 12V 5A"/>
        <s v="AA case 8"/>
        <s v="AA case 4"/>
        <s v="Breadboard S 3.20&quot; x 2.08&quot;"/>
        <s v="Breadboard L 6.50&quot; x 2.15&quot;"/>
        <s v="USB to Micro USB cable"/>
        <s v="Toggle switch DPDT momentary"/>
        <s v="Relay module 5V"/>
        <s v="Logic Level Converter"/>
        <s v="RPI Pico"/>
        <s v="Arduino Mega 2560"/>
        <s v="Arduino Nano RP2040"/>
        <s v="Ultrasonic sensor"/>
        <s v="Distance sensor optical analog"/>
        <s v="Weight sensor (Load cell)"/>
        <s v="Pressure sensor"/>
        <s v="Gravity soil moisture sensor"/>
        <s v="DHT22 Temp-humidity sensor"/>
        <s v="Humidity/ temp sensor"/>
        <s v="Photoresistor"/>
        <s v="Mini stepper Motor Nema 8"/>
        <s v="Stepper motor Nema 23"/>
        <s v="Adafruit Bluefruit LE UART"/>
        <s v="Wifi antenna"/>
        <s v="Type B USB for Arduino"/>
        <s v="Thermistor"/>
        <s v="PIR sensor"/>
        <s v="Stepper motor Nema 17"/>
        <s v="DC Gear Motor 6V 100RPM w/ encoder"/>
        <s v="Micro metal gear motor 6V w/ encoder"/>
        <s v="2A motor driver"/>
        <s v="Arduino UNO R3"/>
        <s v="Push button"/>
        <s v="DC Gear motor 12V 60 RPM w/encoder"/>
        <s v="MG996R Servo motor"/>
        <s v="DC Barrel Adapter - BrdBrd"/>
        <s v="3-Position Breakout"/>
        <s v="SilyWheels"/>
        <s v="Toggle switch DPDT latching"/>
        <s v="Hex Standoff M3 50mm M-F"/>
        <s v="Hex Standoff M3 x 25mm  M-F Brass"/>
        <s v="Hex Standoff M3 20mm F-F "/>
        <s v="Hex Standoff M3 10.00mm F-M"/>
        <s v="Hex Standoff M3  8.00mm F-M "/>
        <s v="Diode 1N5819"/>
        <s v="Mosfet IRF510"/>
        <s v="Diode 1N4148"/>
        <s v="JST 3 pin"/>
        <s v="JST 6 pin"/>
        <s v="Dupont Cable F-F 4 pin"/>
        <s v="Dupont Cable M-F 4 pin"/>
        <s v="JST 6 pin Small"/>
        <s v="Power Connector 2 pin F and M"/>
        <s v="Plunger Clips"/>
        <s v="Timing belt pulley T2"/>
        <s v="Timing Belt T2"/>
        <s v="Turnigy NiMH 7.2V 3000mAh Battery"/>
        <s v="DC to DC Converter 12V"/>
        <s v="DC to DC Converter 6V"/>
        <s v="Motor Hub 3mm"/>
        <s v="Wheel (Blue)"/>
        <s v="Wheel (Narrow)"/>
        <s v="Mecanum Wheel"/>
        <s v="Stepper motor driver A4988"/>
        <s v="Micro SD card module"/>
        <s v="Hex coupler 3mm"/>
        <s v="GPS L76B GNSS Module"/>
        <s v="Buzzer piezo"/>
        <s v="Motor driver DRV8833"/>
        <s v="AM2320 Humidity/ temp sensor"/>
        <s v="Gear- 48T 32 Pitch Hub Mount Spur"/>
        <s v="Beam Gear Rack"/>
        <s v="4mm bore gearmotor pinion gears 32 pitch"/>
        <s v="5mm (0.770&quot;) Clamping Hub"/>
        <s v="4&quot; Precision Wheels (pair)"/>
        <s v="96 Tooth Delrin Hub Mount Spur Gear 32 Pitch"/>
        <s v="Lightweight Servo Hub (H25T Spline)"/>
        <s v="20” / 100T, (3/8&quot;) Wide XL Timing Belt"/>
        <s v="5mm (0.770&quot;) Set Screw Hub"/>
        <s v="60 Tooth Timing Hub Pulley 1In Bore"/>
        <s v="4mm (0.770&quot;) Set Screw Hub"/>
        <s v="Lead Screw (8mm Lead, 4 Start, 650mm Length)"/>
        <s v="4mm 15 Tooth Pinion Pulley"/>
        <s v="8mm Lead Screw Nut, 0.770&quot; Pattern"/>
        <s v="3&quot; Precision Wheels Yellow (Pair)"/>
        <s v="30-inch / 150T, (3/8 inch) Wide XL Timing"/>
        <s v="32 Pitch, 36 Tooth Delrin Hub Mount Spur Gear"/>
        <s v="Servo Mount Gear- 32 Pitch, 16 Tooth, 25T 3F Spline "/>
        <s v="Lead Screw (8mm Lead, 4 Start, 300mm Length)"/>
        <s v="8mm x 300mm Stainless Steel Precision Shafting"/>
        <s v="5mm x 300mm Stainless Steel Precision Shafting"/>
        <s v="5mm 15 Tooth Pinion Pulley"/>
        <s v="5mm x 200mm Stainless Steel Precision Shafting"/>
        <s v="5mm to 8mm Set Screw Shaft Coupler"/>
        <s v="5mm to 5mm Set Screw Shaft Coupler"/>
        <s v="4mm to 8mm Set Screw Shaft Coupler"/>
        <s v="4mm to 5mm Set Screw Shaft Coupler"/>
        <s v="LCD alphanumeric display"/>
        <s v="Slip ring"/>
        <s v="GPS evaluation board- Arduino Compatible"/>
        <s v="Magnetometer  -  Arduino Compatible"/>
        <s v="Absolute Orientation Sensor BNO055"/>
        <s v="3-Axis Acceleration Sensor"/>
        <s v="Liquid Level Sensor"/>
        <s v="PH meter"/>
        <s v="3D Time-of-Flight (ToF) Sensor"/>
        <s v="Gas Sensor"/>
        <s v="Force Sensing Resistor (Small area)"/>
        <s v="Force Sensing Resistor (Large area)"/>
        <s v="Optical slot sensor"/>
        <s v="Vibration sensor"/>
        <s v="Optical through beam sensor"/>
        <s v="Color Sensor"/>
        <s v="Hall sensor"/>
        <s v="Reed Switch Sensor and magnet"/>
        <s v="Pot 10K Linear slide potentiometer"/>
        <s v="Water flow sensor"/>
        <s v="Micro Servo Motor"/>
        <s v="5 x 7 LED Matrix"/>
        <s v="Jumper"/>
        <s v="MicroSD card + usb dongle"/>
        <s v="Rotary Encoder"/>
        <s v="BME 680 Gas, Humidity, Pressure, Temperature Sensor "/>
        <s v="Solenoid"/>
        <s v="433Mhz RF link kit"/>
        <s v="Hex Standoff M3 50mm F-F"/>
        <s v="Hex Standoff M4 80mm F-F"/>
        <s v="Hex Standoff Nylon #6-32 1/2&quot; M-F"/>
        <s v="Hex Standoff M3 10.00mm F-M  Brass " u="1"/>
        <s v="TOF Proximity Sensor" u="1"/>
        <s v="Pot 10 K linear" u="1"/>
        <s v="Test if refresh" u="1"/>
        <s v="Reed switch Magnet" u="1"/>
        <s v="Reed Switch" u="1"/>
        <s v="Environemntal Sensor" u="1"/>
        <s v="Liquid flow sensor" u="1"/>
        <s v="Eval Board 3-Axis Acceleration Sensor" u="1"/>
      </sharedItems>
    </cacheField>
    <cacheField name="Created" numFmtId="0">
      <sharedItems containsSemiMixedTypes="0" containsNonDate="0" containsDate="1" containsString="0" minDate="2021-08-24T10:29:57" maxDate="2022-09-27T17:30:26"/>
    </cacheField>
    <cacheField name="Path" numFmtId="0">
      <sharedItems count="1">
        <s v="sites/fase-myhalfabrication/Lists/Mechatronics_new"/>
      </sharedItems>
    </cacheField>
    <cacheField name="Item Type" numFmtId="0">
      <sharedItems count="1">
        <s v="Item"/>
      </sharedItems>
    </cacheField>
    <cacheField name="Cost" numFmtId="0">
      <sharedItems containsString="0" containsBlank="1" containsNumber="1" minValue="0" maxValue="99"/>
    </cacheField>
    <cacheField name="Image" numFmtId="0">
      <sharedItems containsBlank="1"/>
    </cacheField>
    <cacheField name="Category" numFmtId="0">
      <sharedItems containsBlank="1" count="17">
        <s v="Connect"/>
        <s v="Power"/>
        <s v="Component"/>
        <s v="Sensor"/>
        <s v="Motor"/>
        <m/>
        <s v="External"/>
        <s v="MCU"/>
        <s v="Communication"/>
        <s v="Wheels"/>
        <s v="Hardware"/>
        <s v="Belts and pulleys"/>
        <s v="Gears"/>
        <s v="Coupling"/>
        <s v="Lead screws"/>
        <s v="Shafting"/>
        <s v="toReview"/>
      </sharedItems>
    </cacheField>
    <cacheField name="Spec sheet" numFmtId="0">
      <sharedItems containsBlank="1" count="151" longText="1">
        <s v="https://www.mouser.ca/datasheet/2/73/SBB1005_1-2488414.pdf_x000a_https://www.mouser.ca/datasheet/2/73/SBB1005_1-2488414.pdf"/>
        <s v="https://www.mouser.ca/datasheet/2/73/SBB1605_1-2488593.pdf_x000a_https://www.mouser.ca/datasheet/2/73/SBB1605_1-2488593.pdf"/>
        <s v="http://www.cnctech.us/pdfs/UL%2010982%20AWG%2022.pdf_x000a_http://www.cnctech.us/pdfs/UL%2010982%20AWG%2022.pdf"/>
        <s v="https://www.alphawire.com/products/wire/hook-up-wire/premium/3051_1/_x000a_https://www.alphawire.com/products/wire/hook-up-wire/premium/3051_1/"/>
        <s v="https://www.we-online.com/katalog/datasheet/61304011121.pdf_x000a_https://www.we-online.com/katalog/datasheet/61304011121.pdf"/>
        <s v="https://www.farnell.com/datasheets/185042.pdf?_ga=2.21328568.2054498849.1629474812-1963937051.1613669872&amp;_gac=1.118996091.1629474812.Cj0KCQjwpf2IBhDkARIsAGVo0D3Nq0169lJZwweYV3jyhYvTXDjXJhqs6YIh56RBfJMwRF8xWkWAw-8aAg8CEALw_wcB_x000a_https://www.farnell.com/datasheets/185042.pdf?_ga=2.21328568.2054498849.1629474812-1963937051.1613669872&amp;_gac=1.118996091.1629474812.Cj0KCQjwpf2IBhDkARIsAGVo0D3Nq0169lJZwweYV3jyhYvTXDjXJhqs6YIh56RBfJMwRF8xWkWAw-8aAg8CEALw_wcB"/>
        <s v="https://www.mouser.ca/datasheet/2/389/cd00001884-1795582.pdf_x000a_https://www.mouser.ca/datasheet/2/389/cd00001884-1795582.pdf"/>
        <s v="https://www.farnell.com/datasheets/1717964.pdf_x000a_https://www.farnell.com/datasheets/1717964.pdf"/>
        <s v="https://www.onsemi.com/pdf/datasheet/tip147t-d.pdf_x000a_https://www.onsemi.com/pdf/datasheet/tip147t-d.pdf"/>
        <m/>
        <s v="https://www.vishay.com/docs/88503/1n4001.pdf_x000a_https://www.vishay.com/docs/88503/1n4001.pdf"/>
        <s v="https://www.mouser.ca/datasheet/2/609/TMP35_36_37-1504323.pdf_x000a_https://www.mouser.ca/datasheet/2/609/TMP35_36_37-1504323.pdf"/>
        <s v="https://learn.adafruit.com/all-about-leds/the-led-datasheet_x000a_https://learn.adafruit.com/all-about-leds/the-led-datasheet"/>
        <s v="https://www.we-online.com/katalog/datasheet/6130xx11121.pdf_x000a_https://www.we-online.com/katalog/datasheet/6130xx11121.pdf"/>
        <s v="https://www.mouser.com/datasheet/2/149/LM7812-461970.pdf_x000a_https://www.mouser.com/datasheet/2/149/LM7812-461970.pdf"/>
        <s v="https://www.st.com/content/ccc/resource/technical/document/datasheet/e9/be/53/a3/1f/6f/4f/75/CD00000449.pdf/files/CD00000449.pdf/jcr:content/translations/en.CD00000449.pdf_x000a_https://www.st.com/content/ccc/resource/technical/document/datasheet/e9/be/53/a3/1f/6f/4f/75/CD00000449.pdf/files/CD00000449.pdf/jcr:content/translations/en.CD00000449.pdf"/>
        <s v="https://www.onsemi.com/pdf/datasheet/tip140-d.pdf_x000a_https://www.onsemi.com/pdf/datasheet/tip140-d.pdf"/>
        <s v="https://www.st.com/content/ccc/resource/technical/document/datasheet/41/4f/b3/b0/12/d4/47/88/CD00000444.pdf/files/CD00000444.pdf/jcr:content/translations/en.CD00000444.pdf_x000a_https://www.st.com/content/ccc/resource/technical/document/datasheet/41/4f/b3/b0/12/d4/47/88/CD00000444.pdf/files/CD00000444.pdf/jcr:content/translations/en.CD00000444.pdf"/>
        <s v="https://www.seielect.com/catalog/sei-cf_cfm.pdf_x000a_https://www.seielect.com/catalog/sei-cf_cfm.pdf"/>
        <s v="https://www.boydcorp.com/aavid-datasheets/Board-Level-Cooling-Channel-5770.pdf_x000a_https://www.boydcorp.com/aavid-datasheets/Board-Level-Cooling-Channel-5770.pdf"/>
        <s v="https://www.ti.com/lit/ds/symlink/lm358.pdf?HQS=dis-dk-null-digikeymode-dsf-pf-null-wwe&amp;ts=1647284756167_x000a_https://www.ti.com/lit/ds/symlink/lm358.pdf?HQS=dis-dk-null-digikeymode-dsf-pf-null-wwe&amp;ts=1647284756167"/>
        <s v="https://www.ttelectronics.com/TTElectronics/media/ProductFiles/Datasheets/P160.pdf_x000a_https://www.ttelectronics.com/TTElectronics/media/ProductFiles/Datasheets/P160.pdf"/>
        <s v="https://www.ttelectronics.com/TTElectronics/media/ProductFiles/Datasheets/P170.pdf_x000a_https://www.ttelectronics.com/TTElectronics/media/ProductFiles/Datasheets/P170.pdf"/>
        <s v="https://www.farnell.com/datasheets/202015.pdf?_ga=2.194043501.1199476505.1647878618-1962539389.1647878618&amp;_gac=1.207946278.1647882614.EAIaIQobChMI0oKM6NjX9gIVPHxvBB1vKge5EAAYASAAEgLruvD_BwE_x000a_https://www.farnell.com/datasheets/202015.pdf?_ga=2.194043501.1199476505.1647878618-1962539389.1647878618&amp;_gac=1.207946278.1647882614.EAIaIQobChMI0oKM6NjX9gIVPHxvBB1vKge5EAAYASAAEgLruvD_BwE"/>
        <s v="https://www.farnell.com/datasheets/17573.pdf?_ga=2.62316652.1704274267.1657812188-1688886292.1657812188_x000a_https://www.farnell.com/datasheets/17573.pdf?_ga=2.62316652.1704274267.1657812188-1688886292.1657812188"/>
        <s v="https://www.diodes.com/assets/Datasheets/ds28002.pdf_x000a_https://www.diodes.com/assets/Datasheets/ds28002.pdf"/>
        <s v="https://prod-edam.honeywell.com/content/dam/honeywell-edam/sps/siot/en-us/products/sensors/pressure-sensors/board-mount-pressure-sensors/common/documents/sps-siot-board-mount-pressure-tbp-nbp-series-datasheet-3008328-ciid-179658.pdf_x000a_https://prod-edam.honeywell.com/content/dam/honeywell-edam/sps/siot/en-us/products/sensors/pressure-sensors/board-mount-pressure-sensors/common/documents/sps-siot-board-mount-pressure-tbp-nbp-series-datasheet-3008328-ciid-179658.pdf"/>
        <s v="https://wiki.seeedstudio.com/Grove-Capacitive_Moisture_Sensor-Corrosion-Resistant/_x000a_https://wiki.seeedstudio.com/Grove-Capacitive_Moisture_Sensor-Corrosion-Resistant/"/>
        <s v="https://learn.adafruit.com/adafruit-rfm69hcw-and-rfm96-rfm95-rfm98-lora-packet-padio-breakouts_x000a_https://learn.adafruit.com/adafruit-rfm69hcw-and-rfm96-rfm95-rfm98-lora-packet-padio-breakouts"/>
        <s v="https://www.adafruit.com/product/3100_x000a_https://www.adafruit.com/product/3100"/>
        <s v="https://www.mouser.ca/datasheet/2/209/EPD-200837-1171481.pdf_x000a_https://www.mouser.ca/datasheet/2/209/EPD-200837-1171481.pdf"/>
        <s v="https://www.digikey.ca/en/products/detail/keystone-electronics/2478CN/7385278?s=N4IgTCBcDaIMwDYC0YAsB2AHAYQHJNwBEQBdAXyA_x000a_https://www.digikey.ca/en/products/detail/keystone-electronics/2478CN/7385278?s=N4IgTCBcDaIMwDYC0YAsB2AHAYQHJNwBEQBdAXyA"/>
        <s v="https://www.farnell.com/datasheets/1786645.pdf_x000a_https://www.farnell.com/datasheets/1786645.pdf"/>
        <s v="https://www.budind.com/wp-content/uploads/2019/12/BB-32656.pdf_x000a_https://www.budind.com/wp-content/uploads/2019/12/BB-32656.pdf"/>
        <s v="https://www.farnell.com/datasheets/2945647.pdf_x000a_https://www.farnell.com/datasheets/2945647.pdf"/>
        <s v="https://www.farnell.com/datasheets/2548967.pdf?_ga=2.125107465.2054498849.1629474812-1963937051.1613669872&amp;_gac=1.184537684.1629474812.Cj0KCQjwpf2IBhDkARIsAGVo0D3Nq0169lJZwweYV3jyhYvTXDjXJhqs6YIh56RBfJMwRF8xWkWAw-8aAg8CEALw_wcB_x000a_https://www.farnell.com/datasheets/2548967.pdf?_ga=2.125107465.2054498849.1629474812-1963937051.1613669872&amp;_gac=1.184537684.1629474812.Cj0KCQjwpf2IBhDkARIsAGVo0D3Nq0169lJZwweYV3jyhYvTXDjXJhqs6YIh56RBfJMwRF8xWkWAw-8aAg8CEALw_wcB"/>
        <s v="https://www.sparkfun.com/products/12009_x000a_https://www.sparkfun.com/products/12009"/>
        <s v="https://datasheets.raspberrypi.org/pico/pico-datasheet.pdf_x000a_https://datasheets.raspberrypi.org/pico/pico-datasheet.pdf"/>
        <s v="https://store.arduino.cc/usa/mega-2560-r3_x000a_https://store.arduino.cc/usa/mega-2560-r3"/>
        <s v="https://www.mouser.ca/datasheet/2/34/ABX00053_datasheet-2487198.pdf_x000a_https://www.mouser.ca/datasheet/2/34/ABX00053_datasheet-2487198.pdf"/>
        <s v="https://media.digikey.com/pdf/Data%20Sheets/Adafruit%20PDFs/4007_Web.pdf_x000a_https://media.digikey.com/pdf/Data%20Sheets/Adafruit%20PDFs/4007_Web.pdf"/>
        <s v="https://media.digikey.com/pdf/Data%20Sheets/Sharp%20PDFs/GP2Y0A41SK0F_Spec.pdf_x000a_https://media.digikey.com/pdf/Data%20Sheets/Sharp%20PDFs/GP2Y0A41SK0F_Spec.pdf"/>
        <s v="https://media.digikey.com/pdf/Data%20Sheets/Seeed%20Technology/114990100_Web.pdf_x000a_https://media.digikey.com/pdf/Data%20Sheets/Seeed%20Technology/114990100_Web.pdf"/>
        <s v="https://www.raspberrypi.org/products/pi-noir-camera-v2/_x000a_https://www.raspberrypi.org/products/pi-noir-camera-v2/"/>
        <s v="https://sensing.honeywell.com/honeywell-sensing-trustability-ssc-series-standard-accuracy-board-mount-pressure-sensors-50099533-a-en.pdf_x000a_https://sensing.honeywell.com/honeywell-sensing-trustability-ssc-series-standard-accuracy-board-mount-pressure-sensors-50099533-a-en.pdf"/>
        <s v="https://wiki.dfrobot.com/Moisture_Sensor__SKU_SEN0114__x000a_https://wiki.dfrobot.com/Moisture_Sensor__SKU_SEN0114_"/>
        <s v="https://www.mouser.ca/datasheet/2/737/dht-932870.pdf_x000a_https://www.mouser.ca/datasheet/2/737/dht-932870.pdf"/>
        <s v="https://www.farnell.com/datasheets/1927619.pdf?_ga=2.24458937.2054498849.1629474812-1963937051.1613669872&amp;_gac=1.158316872.1629474812.Cj0KCQjwpf2IBhDkARIsAGVo0D3Nq0169lJZwweYV3jyhYvTXDjXJhqs6YIh56RBfJMwRF8xWkWAw-8aAg8CEALw_wcB_x000a_https://www.farnell.com/datasheets/1927619.pdf?_ga=2.24458937.2054498849.1629474812-1963937051.1613669872&amp;_gac=1.158316872.1629474812.Cj0KCQjwpf2IBhDkARIsAGVo0D3Nq0169lJZwweYV3jyhYvTXDjXJhqs6YIh56RBfJMwRF8xWkWAw-8aAg8CEALw_wcB"/>
        <s v="https://cdn-learn.adafruit.com/downloads/pdf/photocells.pdf_x000a_https://cdn-learn.adafruit.com/downloads/pdf/photocells.pdf"/>
        <s v="https://www.adafruit.com/product/4411_x000a_https://www.adafruit.com/product/4411"/>
        <s v="https://www.mouser.ca/datasheet/2/813/57BYGH420_2-2488166.pdf_x000a_https://www.mouser.ca/datasheet/2/813/57BYGH420_2-2488166.pdf"/>
        <s v="https://www.mouser.ca/datasheet/2/737/introducing-the-adafruit-bluefruit-le-uart-friend-932882.pdf_x000a_https://www.mouser.ca/datasheet/2/737/introducing-the-adafruit-bluefruit-le-uart-friend-932882.pdf"/>
        <s v="https://www.mouser.ca/datasheet/2/238/ant_w63rpc1_ds-1927937.pdf_x000a_https://www.mouser.ca/datasheet/2/238/ant_w63rpc1_ds-1927937.pdf"/>
        <s v="https://learn.adafruit.com/thermistor_x000a_https://learn.adafruit.com/thermistor"/>
        <s v="https://cdn-shop.adafruit.com/product-files/4667/4667_C15116.pdf_x000a_https://cdn-shop.adafruit.com/product-files/4667/4667_C15116.pdf"/>
        <s v="https://utoronto.sharepoint.com/sites/fase-myhalfabrication/MechDataSheets/Forms/AllItems.aspx?id=%2Fsites%2Ffase%2Dmyhalfabrication%2FMechDataSheets%2FStepper%5F17HS3401S%2Epdf&amp;parent=%2Fsites%2Ffase%2Dmyhalfabrication%2FMechDataSheets_x000a_https://utoronto.sharepoint.com/sites/fase-myhalfabrication/MechDataSheets/Forms/AllItems.aspx?id=%2Fsites%2Ffase%2Dmyhalfabrication%2FMechDataSheets%2FStepper%5F17HS3401S%2Epdf&amp;parent=%2Fsites%2Ffase%2Dmyhalfabrication%2FMechDataSheets"/>
        <s v="https://media.digikey.com/pdf/Data%20Sheets/DFRobot%20PDFs/FIT0522_Web.pdf_x000a_https://media.digikey.com/pdf/Data%20Sheets/DFRobot%20PDFs/FIT0522_Web.pdf"/>
        <s v="https://www.digikey.com/htmldatasheets/production/2303784/0/0/1/fit0484.html_x000a_https://www.digikey.com/htmldatasheets/production/2303784/0/0/1/fit0484.html"/>
        <s v="http://www.handsontec.com/dataspecs/L298N%20Motor%20Driver.pdf_x000a_http://www.handsontec.com/dataspecs/L298N%20Motor%20Driver.pdf"/>
        <s v="https://www.farnell.com/datasheets/1682209.pdf_x000a_https://www.farnell.com/datasheets/1682209.pdf"/>
        <s v="https://omronfs.omron.com/en_US/ecb/products/pdf/en-b3f.pdf_x000a_https://omronfs.omron.com/en_US/ecb/products/pdf/en-b3f.pdf"/>
        <s v="https://pdf1.alldatasheet.com/datasheet-pdf/view/1131873/ETC2/MG996R.html_x000a_https://pdf1.alldatasheet.com/datasheet-pdf/view/1131873/ETC2/MG996R.html"/>
        <s v="https://www.mouser.ca/datasheet/2/813/18742-2529326.pdf_x000a_https://www.mouser.ca/datasheet/2/813/18742-2529326.pdf"/>
        <s v="https://www.mouser.ca/datasheet/2/595/BB-TERM3-471790.pdf_x000a_https://www.mouser.ca/datasheet/2/595/BB-TERM3-471790.pdf"/>
        <s v="https://www.citrelay.com/Catalog%20Pages/SwitchCatalog/ANT.pdf_x000a_https://www.citrelay.com/Catalog%20Pages/SwitchCatalog/ANT.pdf"/>
        <s v="https://www.we-online.com/katalog/datasheet/971500324.pdf_x000a_https://www.we-online.com/katalog/datasheet/971500324.pdf"/>
        <s v="https://www.we-online.com/katalog/datasheet/971250244.pdf_x000a_https://www.we-online.com/katalog/datasheet/971250244.pdf"/>
        <s v="https://www.keyelco.com/userAssets/file/M65p76.pdf_x000a_https://www.keyelco.com/userAssets/file/M65p76.pdf"/>
        <s v="https://www.we-online.com/katalog/datasheet/971100354.pdf_x000a_https://www.we-online.com/katalog/datasheet/971100354.pdf"/>
        <s v="https://www.mouser.ca/datasheet/2/427/1n5817-1768225.pdf_x000a_https://www.mouser.ca/datasheet/2/427/1n5817-1768225.pdf"/>
        <s v="https://www.vishay.com/docs/91015/irf510.pdf_x000a_https://www.vishay.com/docs/91015/irf510.pdf"/>
        <s v="https://www.vishay.com/docs/81857/1n4148.pdf_x000a_https://www.vishay.com/docs/81857/1n4148.pdf"/>
        <s v="https://hobbyking.com/en_us/turnigy-stick-pack-sub-c-3000mah-7-2v-nimh-high-power-series.html_x000a_https://hobbyking.com/en_us/turnigy-stick-pack-sub-c-3000mah-7-2v-nimh-high-power-series.html"/>
        <s v="https://www.openimpulse.com/blog/wp-content/uploads/wpsc/downloadables/MP1584-Datasheet.pdf_x000a_https://www.openimpulse.com/blog/wp-content/uploads/wpsc/downloadables/MP1584-Datasheet.pdf"/>
        <s v="https://www.pololu.com/file/download/a4988_DMOS_microstepping_driver_with_translator.pdf?file_id=0J450_x000a_https://www.pololu.com/file/download/a4988_DMOS_microstepping_driver_with_translator.pdf?file_id=0J450"/>
        <s v="https://wiki.dfrobot.com/MicroSD_card_module_for_Arduino__SKU_DFR0229__x000a_https://wiki.dfrobot.com/MicroSD_card_module_for_Arduino__SKU_DFR0229_"/>
        <s v="https://www.piher.net/piher-nacesa.com/pdf/14-PT15v03.pdf_x000a_https://www.piher.net/piher-nacesa.com/pdf/14-PT15v03.pdf"/>
        <s v="https://www.aliexpress.com/item/32955694782.html?spm=a2g0o.search0302.0.0.cfdcc102tU1RJv&amp;algo_pvid=9e7e75c2-541e-45d5-b84c-968a4ca9f664&amp;algo_exp_id=9e7e75c2-541e-45d5-b84c-968a4ca9f664-27_x000a_https://www.aliexpress.com/item/32955694782.html?spm=a2g0o.search0302.0.0.cfdcc102tU1RJv&amp;algo_pvid=9e7e75c2-541e-45d5-b84c-968a4ca9f664&amp;algo_exp_id=9e7e75c2-541e-45d5-b84c-968a4ca9f664-27"/>
        <s v="https://www.waveshare.com/pico-gps-l76b.htm_x000a_https://www.waveshare.com/pico-gps-l76b.htm"/>
        <s v="https://dbunlimitedco.com/images/product_images/2D-Drawings/IP154012-1.pdf_x000a_https://dbunlimitedco.com/images/product_images/2D-Drawings/IP154012-1.pdf"/>
        <s v="https://media.digikey.com/pdf/Data%20Sheets/Adafruit%20PDFs/3297_Web.pdf_x000a_https://media.digikey.com/pdf/Data%20Sheets/Adafruit%20PDFs/3297_Web.pdf"/>
        <s v="https://akizukidenshi.com/download/ds/aosong/AM2320.pdf_x000a_https://akizukidenshi.com/download/ds/aosong/AM2320.pdf"/>
        <s v="https://www.servocity.com/actobotics-beam-gear-rack-32-pitch-acetal/_x000a_https://www.servocity.com/actobotics-beam-gear-rack-32-pitch-acetal/"/>
        <s v="https://www.servocity.com/4mm-bore-32-pitch-16t-shaft-mount-pinion-gear/_x000a_https://www.servocity.com/4mm-bore-32-pitch-16t-shaft-mount-pinion-gear/"/>
        <s v="https://www.servocity.com/5mm-0-770-clamping-hub/_x000a_https://www.servocity.com/5mm-0-770-clamping-hub/"/>
        <s v="https://www.servocity.com/orange-4-00-precision-disk-wheels/_x000a_https://www.servocity.com/orange-4-00-precision-disk-wheels/"/>
        <s v="https://www.servocity.com/32-pitch-96-tooth-delrin-hub-mount-spur-gear/_x000a_https://www.servocity.com/32-pitch-96-tooth-delrin-hub-mount-spur-gear/"/>
        <s v="https://www.servocity.com/25t-lightweight-hub-horn/_x000a_https://www.servocity.com/25t-lightweight-hub-horn/"/>
        <s v="https://www.servocity.com/20-100t-3-8-wide-xl-timing-belt/_x000a_https://www.servocity.com/20-100t-3-8-wide-xl-timing-belt/"/>
        <s v="https://www.servocity.com/5mm-0-770-set-screw-hub/_x000a_https://www.servocity.com/5mm-0-770-set-screw-hub/"/>
        <s v="https://www.servocity.com/timing-hub-pulley/_x000a_https://www.servocity.com/timing-hub-pulley/"/>
        <s v="https://www.servocity.com/4mm-0-770-set-screw-hub/_x000a_https://www.servocity.com/4mm-0-770-set-screw-hub/"/>
        <s v="https://www.servocity.com/25-6-650mm-8mm-lead-screw/_x000a_https://www.servocity.com/25-6-650mm-8mm-lead-screw/"/>
        <s v="https://www.servocity.com/4mm-15-tooth-pinion-pulley/_x000a_https://www.servocity.com/4mm-15-tooth-pinion-pulley/"/>
        <s v="https://www.servocity.com/8mm-lead-screw-nut-0-770-pattern/_x000a_https://www.servocity.com/8mm-lead-screw-nut-0-770-pattern/"/>
        <s v="https://www.servocity.com/yellow-3-00-precision-disk-wheels/_x000a_https://www.servocity.com/yellow-3-00-precision-disk-wheels/"/>
        <s v="https://www.servocity.com/30-150t-3-8-wide-xl-timing/_x000a_https://www.servocity.com/30-150t-3-8-wide-xl-timing/"/>
        <s v="https://www.servocity.com/32-pitch-36-tooth-delrin-hub-mount-spur-gear/_x000a_https://www.servocity.com/32-pitch-36-tooth-delrin-hub-mount-spur-gear/"/>
        <s v="https://www.servocity.com/32p-16-tooth-25t-3f-spline-servo-mount-gear-acetyl/_x000a_https://www.servocity.com/32p-16-tooth-25t-3f-spline-servo-mount-gear-acetyl/"/>
        <s v="https://www.servocity.com/11-81-300mm-8mm-lead-screw/_x000a_https://www.servocity.com/11-81-300mm-8mm-lead-screw/"/>
        <s v="https://www.servocity.com/8mm-x-300mm-stainless-steel-precision-shafting/_x000a_https://www.servocity.com/8mm-x-300mm-stainless-steel-precision-shafting/"/>
        <s v="https://www.servocity.com/5mm-x-300mm-stainless-steel-precision-shafting/_x000a_https://www.servocity.com/5mm-x-300mm-stainless-steel-precision-shafting/"/>
        <s v="https://www.servocity.com/5mm-15-tooth-pinion-pulley/_x000a_https://www.servocity.com/5mm-15-tooth-pinion-pulley/"/>
        <s v="https://www.servocity.com/5mm-x-200mm-stainless-steel-precision-shafting/_x000a_https://www.servocity.com/5mm-x-200mm-stainless-steel-precision-shafting/"/>
        <s v="https://www.servocity.com/5mm-to-8mm-set-screw-shaft-coupler/_x000a_https://www.servocity.com/5mm-to-8mm-set-screw-shaft-coupler/"/>
        <s v="https://www.servocity.com/5mm-to-5mm-set-screw-shaft-coupler/_x000a_https://www.servocity.com/5mm-to-5mm-set-screw-shaft-coupler/"/>
        <s v="https://www.servocity.com/4mm-to-8mm-set-screw-shaft-coupler/_x000a_https://www.servocity.com/4mm-to-8mm-set-screw-shaft-coupler/"/>
        <s v="https://www.servocity.com/4mm-to-5mm-set-screw-shaft-coupler/_x000a_https://www.servocity.com/4mm-to-5mm-set-screw-shaft-coupler/"/>
        <s v="https://www.farnell.com/datasheets/2825676.pdf?_ga=2.40542370.1625439276.1643740824-1309508182.1643740824&amp;_gac=1.237593908.1643741558.EAIaIQobChMIkrix_JXf9QIV445bCh0SQA9LEAQYCiABEgImkPD_BwE_x000a_https://www.farnell.com/datasheets/2825676.pdf?_ga=2.40542370.1625439276.1643740824-1309508182.1643740824&amp;_gac=1.237593908.1643741558.EAIaIQobChMIkrix_JXf9QIV445bCh0SQA9LEAQYCiABEgImkPD_BwE"/>
        <s v="https://www.farnell.com/datasheets/1700901.pdf_x000a_https://www.farnell.com/datasheets/1700901.pdf"/>
        <s v="https://www.farnell.com/datasheets/2572158.pdf_x000a_https://www.farnell.com/datasheets/2572158.pdf"/>
        <s v="https://www.adafruit.com/product/4479_x000a_https://www.adafruit.com/product/4479"/>
        <s v="https://learn.adafruit.com/adafruit-bno055-absolute-orientation-sensor/downloads_x000a_https://learn.adafruit.com/adafruit-bno055-absolute-orientation-sensor/downloads"/>
        <s v="https://media.digikey.com/pdf/Data%20Sheets/Sparkfun%20PDFs/Triple_Axis_Accelerometer_Breakout_KX13x_Qwiic_Hookup_Guide_Web.pdf_x000a_https://media.digikey.com/pdf/Data%20Sheets/Sparkfun%20PDFs/Triple_Axis_Accelerometer_Breakout_KX13x_Qwiic_Hookup_Guide_Web.pdf"/>
        <s v="https://cdn-shop.adafruit.com/datasheets/eTape+Datasheet+12110215TC-12_040213.pdf_x000a_https://cdn-shop.adafruit.com/datasheets/eTape+Datasheet+12110215TC-12_040213.pdf"/>
        <s v="https://www.farnell.com/datasheets/3176105.pdf_x000a_https://www.farnell.com/datasheets/3176105.pdf"/>
        <s v="https://www.farnell.com/datasheets/3108758.pdf_x000a_https://www.farnell.com/datasheets/3108758.pdf"/>
        <s v="https://media.digikey.com/pdf/Data%20Sheets/Seeed%20Technology/101020055_Web.pdf_x000a_https://media.digikey.com/pdf/Data%20Sheets/Seeed%20Technology/101020055_Web.pdf"/>
        <s v="https://www.farnell.com/datasheets/3622888.pdf?_ga=2.35175265.1199476505.1647878618-1962539389.1647878618_x000a_https://www.farnell.com/datasheets/3622888.pdf?_ga=2.35175265.1199476505.1647878618-1962539389.1647878618"/>
        <s v="https://www.farnell.com/datasheets/3622888.pdf?_ga=2.189387499.1199476505.1647878618-1962539389.1647878618_x000a_https://www.farnell.com/datasheets/3622888.pdf?_ga=2.189387499.1199476505.1647878618-1962539389.1647878618"/>
        <s v="https://www.farnell.com/datasheets/1671194.pdf?_ga=2.227202397.1199476505.1647878618-1962539389.1647878618_x000a_https://www.farnell.com/datasheets/1671194.pdf?_ga=2.227202397.1199476505.1647878618-1962539389.1647878618"/>
        <s v="https://www.farnell.com/datasheets/2267179.pdf?_ga=2.1226225.1199476505.1647878618-1962539389.1647878618_x000a_https://www.farnell.com/datasheets/2267179.pdf?_ga=2.1226225.1199476505.1647878618-1962539389.1647878618"/>
        <s v="https://www.ttelectronics.com/TTElectronics/media/ProductFiles/Datasheets/OPB100.pdf_x000a_https://www.ttelectronics.com/TTElectronics/media/ProductFiles/Datasheets/OPB100.pdf"/>
        <s v="https://learn.adafruit.com/adafruit-as7262-6-channel-visible-light-sensor_x000a_https://learn.adafruit.com/adafruit-as7262-6-channel-visible-light-sensor"/>
        <s v="https://www.diodes.com/assets/Datasheets/products_inactive_data/AH372.pdf_x000a_https://www.diodes.com/assets/Datasheets/products_inactive_data/AH372.pdf"/>
        <s v="https://www.littelfuse.com/~/media/electronics/datasheets/reed_sensors/littelfuse_reed_sensors_59145_datasheet.pdf.pdf_x000a_https://www.littelfuse.com/~/media/electronics/datasheets/reed_sensors/littelfuse_reed_sensors_59145_datasheet.pdf.pdf"/>
        <s v="https://www.alliedelec.com/m/d/604a99fd8238f277d7fc63335c9284e5.pdf_x000a_https://www.alliedelec.com/m/d/604a99fd8238f277d7fc63335c9284e5.pdf"/>
        <s v="https://media.digikey.com/pdf/Data%20Sheets/Seeed%20Technology/114991177_Web.pdf_x000a_https://media.digikey.com/pdf/Data%20Sheets/Seeed%20Technology/114991177_Web.pdf"/>
        <s v="https://www.microcenter.com/product/454408/mcm-electronics-micro-servo_x000a_https://www.microcenter.com/product/454408/mcm-electronics-micro-servo"/>
        <s v="https://www.kingbrightusa.com/images/catalog/SPEC/TC07-11EWA.pdf_x000a_https://www.kingbrightusa.com/images/catalog/SPEC/TC07-11EWA.pdf"/>
        <s v="https://www.we-online.com/katalog/datasheet/60900213421.pdf_x000a_https://www.we-online.com/katalog/datasheet/60900213421.pdf"/>
        <s v="https://media.digikey.com/pdf/Data%20Sheets/Pimoroni%20PDFs/PIM357_Web.pdf_x000a_https://media.digikey.com/pdf/Data%20Sheets/Pimoroni%20PDFs/PIM357_Web.pdf"/>
        <s v="https://www.mouser.ca/datasheet/2/813/ZHO_0420S_05A4_5_SPECIFICATION-2489929.pdf_x000a_https://www.mouser.ca/datasheet/2/813/ZHO_0420S_05A4_5_SPECIFICATION-2489929.pdf"/>
        <s v="https://www.mouser.ca/pdfDocs/ProductOverview-DFRobot-DFR0379.pdf_x000a_https://www.mouser.ca/pdfDocs/ProductOverview-DFRobot-DFR0379.pdf"/>
        <s v="https://wiki.seeedstudio.com/433Mhz_RF_Link_Kit/_x000a_https://wiki.seeedstudio.com/433Mhz_RF_Link_Kit/"/>
        <s v="https://www.keyelco.com/userAssets/file/M65p74.pdf_x000a_https://www.keyelco.com/userAssets/file/M65p74.pdf"/>
        <s v="https://www.mouser.ca/datasheet/2/389/cd00000444-1795274.pdf_x000a_https://www.mouser.ca/datasheet/2/389/cd00000444-1795274.pdf" u="1"/>
        <s v="https://www.farnell.com/datasheets/2331844.pdf?_ga=2.30585471.1199476505.1647878618-1962539389.1647878618&amp;_gac=1.171008276.1647882614.EAIaIQobChMI0oKM6NjX9gIVPHxvBB1vKge5EAAYASAAEgLruvD_BwE_x000a_https://www.farnell.com/datasheets/2331844.pdf?_ga=2.30585471.1199476505.1647878618-1962539389.1647878618&amp;_gac=1.171008276.1647882614.EAIaIQobChMI0oKM6NjX9gIVPHxvBB1vKge5EAAYASAAEgLruvD_BwE" u="1"/>
        <s v="https://www.farnell.com/datasheets/3215925.pdf?_ga=2.27451260.1199476505.1647878618-1962539389.1647878618&amp;_gac=1.208979622.1647882614.EAIaIQobChMI0oKM6NjX9gIVPHxvBB1vKge5EAAYASAAEgLruvD_BwE_x000a_https://www.farnell.com/datasheets/3215925.pdf?_ga=2.27451260.1199476505.1647878618-1962539389.1647878618&amp;_gac=1.208979622.1647882614.EAIaIQobChMI0oKM6NjX9gIVPHxvBB1vKge5EAAYASAAEgLruvD_BwE" u="1"/>
        <s v="https://www.farnell.com/datasheets/1519955.pdf_x000a_https://www.farnell.com/datasheets/1519955.pdf" u="1"/>
        <s v="https://www.farnell.com/datasheets/2793454.pdf?_ga=2.193515885.1199476505.1647878618-1962539389.1647878618&amp;_gac=1.220458540.1647882614.EAIaIQobChMI0oKM6NjX9gIVPHxvBB1vKge5EAAYASAAEgLruvD_BwE_x000a_https://www.farnell.com/datasheets/2793454.pdf?_ga=2.193515885.1199476505.1647878618-1962539389.1647878618&amp;_gac=1.220458540.1647882614.EAIaIQobChMI0oKM6NjX9gIVPHxvBB1vKge5EAAYASAAEgLruvD_BwE" u="1"/>
        <s v="https://www.farnell.com/datasheets/1815595.pdf_x000a_https://www.farnell.com/datasheets/1815595.pdf" u="1"/>
        <s v="https://www.farnell.com/datasheets/3050157.pdf_x000a_https://www.farnell.com/datasheets/3050157.pdf" u="1"/>
        <s v="https://www.adafruit.com/product/2168_x000a_https://www.adafruit.com/product/2168" u="1"/>
        <s v="https://media.digikey.com/pdf/Data%20Sheets/Seeed%20Technology/101020046_Web.pdf_x000a_https://media.digikey.com/pdf/Data%20Sheets/Seeed%20Technology/101020046_Web.pdf" u="1"/>
        <s v="https://www.farnell.com/datasheets/3161967.pdf_x000a_https://www.farnell.com/datasheets/3161967.pdf" u="1"/>
        <s v="https://components101.com/sites/default/files/component_datasheet/Micro-SD-Card-Module-Datasheet.pdf_x000a_https://components101.com/sites/default/files/component_datasheet/Micro-SD-Card-Module-Datasheet.pdf" u="1"/>
        <s v="https://www.farnell.com/datasheets/2793454.pdf?_ga=2.258014666.1199476505.1647878618-1962539389.1647878618_x000a_https://www.farnell.com/datasheets/2793454.pdf?_ga=2.258014666.1199476505.1647878618-1962539389.1647878618" u="1"/>
        <s v="https://www.farnell.com/datasheets/3161940.pdf?_ga=2.193509741.1199476505.1647878618-1962539389.1647878618_x000a_https://www.farnell.com/datasheets/3161940.pdf?_ga=2.193509741.1199476505.1647878618-1962539389.1647878618" u="1"/>
        <s v="https://cdn.shopify.com/s/files/1/0174/1800/files/bst-bme680-ds001.pdf?v=1629474140_x000a_https://cdn.shopify.com/s/files/1/0174/1800/files/bst-bme680-ds001.pdf?v=1629474140" u="1"/>
        <s v="https://www.te.com/commerce/DocumentDelivery/DDEController?Action=srchrtrv&amp;DocNm=1462000-2&amp;DocType=Customer+Drawing&amp;DocLang=English_x000a_https://www.te.com/commerce/DocumentDelivery/DDEController?Action=srchrtrv&amp;DocNm=1462000-2&amp;DocType=Customer+Drawing&amp;DocLang=English" u="1"/>
      </sharedItems>
    </cacheField>
    <cacheField name="Stock" numFmtId="0">
      <sharedItems containsString="0" containsBlank="1" containsNumber="1" containsInteger="1" minValue="1" maxValue="5000" count="30">
        <n v="10"/>
        <n v="200"/>
        <n v="100"/>
        <n v="182"/>
        <n v="61"/>
        <n v="3200"/>
        <n v="300"/>
        <n v="340"/>
        <m/>
        <n v="1000"/>
        <n v="2000"/>
        <n v="800"/>
        <n v="500"/>
        <n v="22"/>
        <n v="5000"/>
        <n v="50"/>
        <n v="33"/>
        <n v="30"/>
        <n v="40"/>
        <n v="20"/>
        <n v="5"/>
        <n v="85"/>
        <n v="99"/>
        <n v="161"/>
        <n v="740"/>
        <n v="42"/>
        <n v="1"/>
        <n v="150"/>
        <n v="2"/>
        <n v="250"/>
      </sharedItems>
    </cacheField>
    <cacheField name="Fullname" numFmtId="0">
      <sharedItems containsString="0" containsBlank="1" count="1">
        <m/>
      </sharedItems>
    </cacheField>
    <cacheField name="RentalCost" numFmtId="0">
      <sharedItems containsSemiMixedTypes="0" containsString="0" containsNumber="1" minValue="0" maxValue="19.8" count="148">
        <n v="2.72"/>
        <n v="4.6100000000000003"/>
        <n v="0.33"/>
        <n v="1.21"/>
        <n v="1.18"/>
        <n v="2"/>
        <n v="4.74"/>
        <n v="2.1"/>
        <n v="0.2"/>
        <n v="0.19"/>
        <n v="2.2200000000000002"/>
        <n v="0.35"/>
        <n v="0.17"/>
        <n v="1.1000000000000001"/>
        <n v="1.24"/>
        <n v="1.47"/>
        <n v="7.0000000000000007E-2"/>
        <n v="0.44"/>
        <n v="0.12"/>
        <n v="0.42"/>
        <n v="0.89"/>
        <n v="0.03"/>
        <n v="0.06"/>
        <n v="1.62"/>
        <n v="1.28"/>
        <n v="2.4900000000000002"/>
        <n v="0.01"/>
        <n v="0.5"/>
        <n v="0.86"/>
        <n v="0"/>
        <n v="4.32"/>
        <n v="0.442"/>
        <n v="0.78600000000000003"/>
        <n v="1.1879999999999999"/>
        <n v="2.0880000000000001"/>
        <n v="0.46600000000000003"/>
        <n v="0.498"/>
        <n v="0.372"/>
        <n v="1.012"/>
        <n v="1.3360000000000001"/>
        <n v="13.208"/>
        <n v="9.73"/>
        <n v="1.446"/>
        <n v="2.4780000000000002"/>
        <n v="3.3340000000000001"/>
        <n v="9.1180000000000003"/>
        <n v="11.7"/>
        <n v="1.6459999999999999"/>
        <n v="3.4140000000000001"/>
        <n v="1.954"/>
        <n v="0.32600000000000001"/>
        <n v="6.8440000000000003"/>
        <n v="13.272"/>
        <n v="6.0039999999999996"/>
        <n v="1.6879999999999999"/>
        <n v="0.69599999999999995"/>
        <n v="1.3740000000000001"/>
        <n v="0.66200000000000003"/>
        <n v="3.5960000000000001"/>
        <n v="6.1820000000000004"/>
        <n v="4.0839999999999996"/>
        <n v="0.63600000000000001"/>
        <n v="6.6779999999999999"/>
        <n v="4.3999999999999997E-2"/>
        <n v="2.9660000000000002"/>
        <n v="19.8"/>
        <n v="0.56000000000000005"/>
        <n v="0.11"/>
        <n v="0.124"/>
        <n v="6.4000000000000001E-2"/>
        <n v="6.6000000000000003E-2"/>
        <n v="0.14000000000000001"/>
        <n v="0.32400000000000001"/>
        <n v="2.4E-2"/>
        <n v="0.09"/>
        <n v="0.16600000000000001"/>
        <n v="0.16"/>
        <n v="0.28999999999999998"/>
        <n v="0.65600000000000003"/>
        <n v="0.32"/>
        <n v="0.38200000000000001"/>
        <n v="3.8439999999999999"/>
        <n v="0.65800000000000003"/>
        <n v="0.53"/>
        <n v="0.45800000000000002"/>
        <n v="0.42399999999999999"/>
        <n v="14.208"/>
        <n v="2.1240000000000001"/>
        <n v="2.262"/>
        <n v="0.20599999999999999"/>
        <n v="0.26600000000000001"/>
        <n v="5.1980000000000004"/>
        <n v="0.91400000000000003"/>
        <n v="1.702"/>
        <n v="1.444"/>
        <n v="1.5580000000000001"/>
        <n v="1.8720000000000001"/>
        <n v="2.39"/>
        <n v="2.0539999999999998"/>
        <n v="1.986"/>
        <n v="2.3239999999999998"/>
        <n v="1.42"/>
        <n v="1.794"/>
        <n v="1.6859999999999999"/>
        <n v="2.62"/>
        <n v="1.476"/>
        <n v="4.1920000000000002"/>
        <n v="2.6920000000000002"/>
        <n v="2.3940000000000001"/>
        <n v="1.49"/>
        <n v="1.29"/>
        <n v="1.1599999999999999"/>
        <n v="2.274"/>
        <n v="1.496"/>
        <n v="0.76600000000000001"/>
        <n v="0.61399999999999999"/>
        <n v="1.494"/>
        <n v="3.13"/>
        <n v="5.0540000000000003"/>
        <n v="13.231999999999999"/>
        <n v="7.13"/>
        <n v="2.5859999999999999"/>
        <n v="2.0259999999999998"/>
        <n v="3.472"/>
        <n v="0.13"/>
        <n v="1.718"/>
        <n v="1.298"/>
        <n v="7.23"/>
        <n v="0.15"/>
        <n v="1.526"/>
        <n v="1.3480000000000001"/>
        <n v="2.5"/>
        <n v="2.024"/>
        <n v="1.02"/>
        <n v="2.4020000000000001"/>
        <n v="0.37"/>
        <n v="7.45"/>
        <n v="1.698"/>
        <n v="1.68"/>
        <n v="0.26"/>
        <n v="1.41" u="1"/>
        <n v="3.64" u="1"/>
        <n v="0.17199999999999999" u="1"/>
        <n v="0.3" u="1"/>
        <n v="1.03" u="1"/>
        <n v="0.1" u="1"/>
        <n v="8.4" u="1"/>
        <n v="0.182" u="1"/>
      </sharedItems>
    </cacheField>
    <cacheField name="Rental" numFmtId="0">
      <sharedItems count="2">
        <s v="Final Sale"/>
        <s v="Rental"/>
      </sharedItems>
    </cacheField>
    <cacheField name="IDMECHATRONICS" numFmtId="0">
      <sharedItems containsBlank="1" count="200">
        <s v="6 MECHATRONICS"/>
        <s v="7 MECHATRONICS"/>
        <s v="9 MECHATRONICS"/>
        <s v="10 MECHATRONICS"/>
        <s v="11 MECHATRONICS"/>
        <s v="12 MECHATRONICS"/>
        <s v="13 MECHATRONICS"/>
        <s v="15 MECHATRONICS"/>
        <s v="18 MECHATRONICS"/>
        <s v="20 MECHATRONICS"/>
        <s v="21 MECHATRONICS"/>
        <s v="31 MECHATRONICS"/>
        <s v="40 MECHATRONICS"/>
        <s v="43 MECHATRONICS"/>
        <s v="44 MECHATRONICS"/>
        <s v="45 MECHATRONICS"/>
        <s v="56 MECHATRONICS"/>
        <s v="57 MECHATRONICS"/>
        <s v="58 MECHATRONICS"/>
        <s v="59 MECHATRONICS"/>
        <s v="60 MECHATRONICS"/>
        <s v="65 MECHATRONICS"/>
        <s v="73 MECHATRONICS"/>
        <s v="75 MECHATRONICS"/>
        <s v="78 MECHATRONICS"/>
        <s v="79 MECHATRONICS"/>
        <s v="80 MECHATRONICS"/>
        <s v="81 MECHATRONICS"/>
        <s v="82 MECHATRONICS"/>
        <s v="83 MECHATRONICS"/>
        <s v="84 MECHATRONICS"/>
        <s v="85 MECHATRONICS"/>
        <s v="86 MECHATRONICS"/>
        <s v="87 MECHATRONICS"/>
        <s v="88 MECHATRONICS"/>
        <s v="89 MECHATRONICS"/>
        <s v="94 MECHATRONICS"/>
        <s v="95 MECHATRONICS"/>
        <s v="102 MECHATRONICS"/>
        <s v="103 MECHATRONICS"/>
        <s v="104 MECHATRONICS"/>
        <s v="111 MECHATRONICS"/>
        <s v="112 MECHATRONICS"/>
        <s v="113 MECHATRONICS"/>
        <s v="119 MECHATRONICS"/>
        <s v="120 MECHATRONICS"/>
        <s v="121 MECHATRONICS"/>
        <s v="122 MECHATRONICS"/>
        <s v="123 MECHATRONICS"/>
        <s v="124 MECHATRONICS"/>
        <s v="128 MECHATRONICS"/>
        <s v="157 MECHATRONICS"/>
        <s v="180 MECHATRONICS"/>
        <s v="181 MECHATRONICS"/>
        <s v="182 MECHATRONICS"/>
        <s v="191 MECHATRONICS"/>
        <s v="194 MECHATRONICS"/>
        <s v="195 MECHATRONICS"/>
        <s v="199 MECHATRONICS"/>
        <s v="200 MECHATRONICS"/>
        <s v="201 MECHATRONICS"/>
        <s v="202 MECHATRONICS"/>
        <s v="203 MECHATRONICS"/>
        <s v="204 MECHATRONICS"/>
        <s v="205 MECHATRONICS"/>
        <s v="206 MECHATRONICS"/>
        <s v="1 MECHATRONICS"/>
        <s v="2 MECHATRONICS"/>
        <s v="3 MECHATRONICS"/>
        <s v="4 MECHATRONICS"/>
        <s v="5 MECHATRONICS"/>
        <s v="8 MECHATRONICS"/>
        <s v="14 MECHATRONICS"/>
        <s v="17 MECHATRONICS"/>
        <s v="19 MECHATRONICS"/>
        <s v="22 MECHATRONICS"/>
        <s v="23 MECHATRONICS"/>
        <s v="24 MECHATRONICS"/>
        <s v="25 MECHATRONICS"/>
        <s v="26 MECHATRONICS"/>
        <s v="27 MECHATRONICS"/>
        <s v="28 MECHATRONICS"/>
        <s v="29 MECHATRONICS"/>
        <s v="30 MECHATRONICS"/>
        <s v="32 MECHATRONICS"/>
        <s v="33 MECHATRONICS"/>
        <s v="34 MECHATRONICS"/>
        <s v="35 MECHATRONICS"/>
        <s v="36 MECHATRONICS"/>
        <s v="37 MECHATRONICS"/>
        <s v="38 MECHATRONICS"/>
        <s v="39 MECHATRONICS"/>
        <s v="46 MECHATRONICS"/>
        <s v="47 MECHATRONICS"/>
        <s v="48 MECHATRONICS"/>
        <s v="49 MECHATRONICS"/>
        <s v="50 MECHATRONICS"/>
        <s v="51 MECHATRONICS"/>
        <s v="52 MECHATRONICS"/>
        <s v="53 MECHATRONICS"/>
        <s v="54 MECHATRONICS"/>
        <s v="55 MECHATRONICS"/>
        <s v="63 MECHATRONICS"/>
        <s v="64 MECHATRONICS"/>
        <s v="66 MECHATRONICS"/>
        <s v="67 MECHATRONICS"/>
        <s v="68 MECHATRONICS"/>
        <s v="69 MECHATRONICS"/>
        <s v="70 MECHATRONICS"/>
        <s v="71 MECHATRONICS"/>
        <s v="72 MECHATRONICS"/>
        <s v="74 MECHATRONICS"/>
        <s v="76 MECHATRONICS"/>
        <s v="77 MECHATRONICS"/>
        <s v="90 MECHATRONICS"/>
        <s v="91 MECHATRONICS"/>
        <s v="92 MECHATRONICS"/>
        <s v="93 MECHATRONICS"/>
        <s v="96 MECHATRONICS"/>
        <s v="97 MECHATRONICS"/>
        <s v="98 MECHATRONICS"/>
        <s v="99 MECHATRONICS"/>
        <s v="100 MECHATRONICS"/>
        <s v="101 MECHATRONICS"/>
        <s v="105 MECHATRONICS"/>
        <s v="106 MECHATRONICS"/>
        <s v="107 MECHATRONICS"/>
        <s v="108 MECHATRONICS"/>
        <s v="109 MECHATRONICS"/>
        <s v="110 MECHATRONICS"/>
        <s v="114 MECHATRONICS"/>
        <s v="115 MECHATRONICS"/>
        <s v="116 MECHATRONICS"/>
        <s v="117 MECHATRONICS"/>
        <s v="118 MECHATRONICS"/>
        <s v="126 MECHATRONICS"/>
        <s v="127 MECHATRONICS"/>
        <s v="129 MECHATRONICS"/>
        <s v="130 MECHATRONICS"/>
        <s v="131 MECHATRONICS"/>
        <s v="132 MECHATRONICS"/>
        <s v="133 MECHATRONICS"/>
        <s v="134 MECHATRONICS"/>
        <s v="135 MECHATRONICS"/>
        <s v="136 MECHATRONICS"/>
        <s v="137 MECHATRONICS"/>
        <s v="138 MECHATRONICS"/>
        <s v="139 MECHATRONICS"/>
        <s v="140 MECHATRONICS"/>
        <s v="141 MECHATRONICS"/>
        <s v="142 MECHATRONICS"/>
        <s v="143 MECHATRONICS"/>
        <s v="144 MECHATRONICS"/>
        <s v="145 MECHATRONICS"/>
        <s v="146 MECHATRONICS"/>
        <s v="147 MECHATRONICS"/>
        <s v="148 MECHATRONICS"/>
        <s v="149 MECHATRONICS"/>
        <s v="150 MECHATRONICS"/>
        <s v="151 MECHATRONICS"/>
        <s v="152 MECHATRONICS"/>
        <s v="153 MECHATRONICS"/>
        <s v="154 MECHATRONICS"/>
        <s v="155 MECHATRONICS"/>
        <s v="156 MECHATRONICS"/>
        <s v="158 MECHATRONICS"/>
        <s v="159 MECHATRONICS"/>
        <s v="160 MECHATRONICS"/>
        <s v="161 MECHATRONICS"/>
        <s v="162 MECHATRONICS"/>
        <s v="164 MECHATRONICS"/>
        <s v="165 MECHATRONICS"/>
        <s v="166 MECHATRONICS"/>
        <s v="167 MECHATRONICS"/>
        <s v="168 MECHATRONICS"/>
        <s v="170 MECHATRONICS"/>
        <s v="171 MECHATRONICS"/>
        <s v="172 MECHATRONICS"/>
        <s v="173 MECHATRONICS"/>
        <s v="174 MECHATRONICS"/>
        <s v="175 MECHATRONICS"/>
        <s v="176 MECHATRONICS"/>
        <s v="178 MECHATRONICS"/>
        <s v="179 MECHATRONICS"/>
        <s v="183 MECHATRONICS"/>
        <s v="184 MECHATRONICS"/>
        <s v="185 MECHATRONICS"/>
        <s v="186 MECHATRONICS"/>
        <s v="187 MECHATRONICS"/>
        <s v="188 MECHATRONICS"/>
        <s v="189 MECHATRONICS"/>
        <s v="190 MECHATRONICS"/>
        <s v="192 MECHATRONICS"/>
        <s v="193 MECHATRONICS"/>
        <s v="196 MECHATRONICS"/>
        <s v="197 MECHATRONICS"/>
        <s v="198 MECHATRONICS"/>
        <m u="1"/>
        <s v="177 MECHATRONICS" u="1"/>
        <s v="169 MECHATRONICS" u="1"/>
      </sharedItems>
    </cacheField>
    <cacheField name="OutOfStock" numFmtId="0">
      <sharedItems containsBlank="1" count="4">
        <m/>
        <s v="-"/>
        <s v="Out of Stock"/>
        <s v="* OUT OF STOCK -" u="1"/>
      </sharedItems>
    </cacheField>
    <cacheField name="QTY_Ordered" numFmtId="0">
      <sharedItems containsString="0" containsBlank="1" containsNumber="1" containsInteger="1" minValue="0" maxValue="500" count="23">
        <n v="0"/>
        <n v="100"/>
        <n v="440"/>
        <n v="200"/>
        <m/>
        <n v="500"/>
        <n v="337"/>
        <n v="5"/>
        <n v="1"/>
        <n v="2"/>
        <n v="60"/>
        <n v="30"/>
        <n v="75"/>
        <n v="20"/>
        <n v="16"/>
        <n v="10"/>
        <n v="40"/>
        <n v="9"/>
        <n v="39"/>
        <n v="50"/>
        <n v="80"/>
        <n v="70"/>
        <n v="35"/>
      </sharedItems>
    </cacheField>
    <cacheField name="Availability" numFmtId="0">
      <sharedItems count="2">
        <s v="visible"/>
        <s v="hidde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ff" refreshedDate="44851.703070717595" createdVersion="6" refreshedVersion="8" minRefreshableVersion="3" recordCount="108" xr:uid="{8830C08C-E665-47FF-BDF0-136E2ED0581A}">
  <cacheSource type="external" connectionId="7"/>
  <cacheFields count="19">
    <cacheField name="Filename" numFmtId="0">
      <sharedItems count="110">
        <s v="Bearing Balls 1/8&quot;"/>
        <s v="Bearing Balls 3/16&quot;"/>
        <s v="Bearing Balls 5/32&quot;"/>
        <s v="Bearing Balls 7/32&quot;"/>
        <s v="Bearing Balls 1/4&quot;"/>
        <s v="Mini Ball Bearings"/>
        <s v="Threaded rod 1/4 20"/>
        <s v="ESC204 Workshop Rover W/Consumables"/>
        <s v="ESC204 Workshop Consumables Only"/>
        <s v="Neodymium Magnet"/>
        <s v="MSE398 tensile tester Kit"/>
        <s v="M3 pitch 0.50- 5mm"/>
        <s v="M3 pitch 0.50- 6mm"/>
        <s v="M3 pitch 0.50- 8mm"/>
        <s v="M3 pitch 0.50- 10mm"/>
        <s v="M3 pitch 0.50- 12mm"/>
        <s v="M3 pitch 0.50- 20mm"/>
        <s v="M3 pitch 0.50- 25mm"/>
        <s v="M3 pitch 0.50- 35mm"/>
        <s v="M3 pitch 0.50- 40mm"/>
        <s v="M4 pitch 0.70- 35mm"/>
        <s v="M5 pitch 0.80- 35mm"/>
        <s v="Hex nut M3 pitch 0.5"/>
        <s v="Hex nut M5 pitch 0.80"/>
        <s v="Hex nut M4 pitch 0.70"/>
        <s v="6 x 1/2&quot; Flat Head"/>
        <s v="6 x 1/2&quot; Round Head "/>
        <s v="6 x 1&quot; Flat Head"/>
        <s v="6 x 1 1/2&quot; Flat Head"/>
        <s v="6 x 2&quot; Flat Head"/>
        <s v="8 x 1&quot; Flat Head"/>
        <s v="8 x 1 1/2&quot; Flat Head"/>
        <s v="8 x 4&quot; Flat Head"/>
        <s v="12 x 3/4&quot; Flat Head"/>
        <s v="12 x 1&quot; Flat Head"/>
        <s v="12 x 1 1/2&quot; Flat Head"/>
        <s v="12 x 4&quot; Flat Head"/>
        <s v="6 x 3/4&quot; Flat Head"/>
        <s v="6-32 x 1/4&quot; Oval Head"/>
        <s v="6-32 x 1/2&quot; Round Head"/>
        <s v="6-32 x 3/4&quot; Round Head"/>
        <s v="6-32 x 1&quot; Round Head"/>
        <s v="8-32 x 1/2&quot; Round Head"/>
        <s v="8-32 x 3/4&quot; Round Head"/>
        <s v="8-32 x 1 1/4&quot; Round Head"/>
        <s v="8-32 x 1 1/2&quot; Round Head"/>
        <s v="M3 Washers"/>
        <s v="10-32 x 1/2&quot; Round Head"/>
        <s v="10-32 x 3/4&quot; Round Head"/>
        <s v="10-32 x 1&quot; Round Head"/>
        <s v="10-32 x 1 1/4&quot; Round Head"/>
        <s v="Perforated Hanger Strap"/>
        <s v="Hex Nut 6-32"/>
        <s v="10-32 Hex Nut "/>
        <s v="1/4-20 x 3/4&quot; Hex Bolt "/>
        <s v="1/4-20 x 2&quot; Hex Bolt "/>
        <s v="3/8-16 x 2&quot; Hex Bolt "/>
        <s v="3/8-16 x 3&quot; Hex Bolt "/>
        <s v="3/8-16 x 4&quot; Hex Bolt "/>
        <s v="3/8-16 x 5&quot; Hex Bolt "/>
        <s v="10-24 x 1/2&quot; Round Head"/>
        <s v="10-24 x 1 1/4&quot; Round Head"/>
        <s v="1/4-20 x 1/2&quot; Round Head"/>
        <s v="1/4-20 x 3/4&quot; Round Head"/>
        <s v="1/4-20 x 1&quot; Round Head"/>
        <s v="1/4-20 x 1 1/2&quot; Round Head"/>
        <s v="1/4-20 x 3&quot; Round Head"/>
        <s v="Spiral Deck Nails"/>
        <s v="3/16 x 2 1/4&quot; Tapper Screws"/>
        <s v="1 3/4&quot; Deck Screw"/>
        <s v="1&quot; Self Tapping Flat Head"/>
        <s v="Roofing Nails"/>
        <s v="10-24 Hex Nut"/>
        <s v="Hex Nut 1/4-20 "/>
        <s v="3/8-16 Hex Nut"/>
        <s v="1/4-20 Washer"/>
        <s v="1/4-20 Split Washer"/>
        <s v="3/8-16 Washer"/>
        <s v="3/8-16 Split Washer"/>
        <s v="1/4 Rivets"/>
        <s v="3/32 Rivets"/>
        <s v="1/8 Rivets"/>
        <s v="5/32 Rivets"/>
        <s v="3/16 Rivets"/>
        <s v="M1.6"/>
        <s v="M1.6 Hex Nut"/>
        <s v="M3 Flat Head Socket Head"/>
        <s v="8 x 3&quot; Flat Head"/>
        <s v="8-32 Hex Nut"/>
        <s v="M3 Locknut"/>
        <s v="M3*5 socket"/>
        <s v="M3 split washer"/>
        <s v="ESC204 Lab 1 kit"/>
        <s v="ESC204 Lab2 kit"/>
        <s v="Ball Bearing (8mm ID x 12mm OD, 4mm Thickness) - 2 Pack"/>
        <s v="4&quot; Square Ball Bearing Turntable"/>
        <s v="8mm ID x 24mm Length Linear Ball Bearings"/>
        <s v="Ball Bearing (5mm ID x 12mm OD, 4mm Thickness)"/>
        <s v="ESC204 Lab 3A kit (MECH) (x41)"/>
        <s v="ESC204 Lab 3B kit (IoT) (x41)"/>
        <s v="Caster ball 1&quot; "/>
        <s v="Caster ball 1/2&quot;"/>
        <s v=" 8 x 1/2&quot; Flat Head"/>
        <s v="#6 washer"/>
        <s v="#8 washer"/>
        <s v="ESP I - Measuring tape 30m"/>
        <s v="ESP I - Measuring wheel"/>
        <s v="Pipe strap 3/4&quot;"/>
        <s v="6-32 x 1/4&quot; Round Head" u="1"/>
        <s v="1/4-20 x 1 1/4&quot; Round Head" u="1"/>
      </sharedItems>
    </cacheField>
    <cacheField name="Cost" numFmtId="0">
      <sharedItems containsString="0" containsBlank="1" containsNumber="1" minValue="0.02" maxValue="100" count="54">
        <n v="0.05"/>
        <n v="1.2"/>
        <n v="2.67"/>
        <n v="99.22"/>
        <n v="13.79"/>
        <n v="16.61"/>
        <n v="100"/>
        <n v="0.09"/>
        <n v="0.12"/>
        <n v="0.11"/>
        <n v="7.0000000000000007E-2"/>
        <n v="0.15"/>
        <n v="0.14000000000000001"/>
        <n v="0.25"/>
        <n v="0.31"/>
        <n v="0.35"/>
        <n v="0.08"/>
        <n v="0.06"/>
        <n v="0.1"/>
        <n v="0.23"/>
        <n v="0.28999999999999998"/>
        <n v="0.22"/>
        <n v="0.19"/>
        <n v="0.21"/>
        <n v="0.75"/>
        <n v="0.13"/>
        <n v="0.16"/>
        <n v="0.02"/>
        <n v="0.18"/>
        <n v="1.48"/>
        <n v="0.04"/>
        <n v="0.17"/>
        <n v="0.46"/>
        <n v="0.93"/>
        <n v="1.38"/>
        <n v="2.06"/>
        <n v="3.03"/>
        <n v="1.9"/>
        <n v="0.57999999999999996"/>
        <m/>
        <n v="0.03"/>
        <n v="0.36"/>
        <n v="0.54"/>
        <n v="9.42"/>
        <n v="23.87"/>
        <n v="4.97"/>
        <n v="9.1999999999999993"/>
        <n v="7.47"/>
        <n v="5.68"/>
        <n v="16.54"/>
        <n v="9.73"/>
        <n v="99.99"/>
        <n v="0.24" u="1"/>
        <n v="0.33" u="1"/>
      </sharedItems>
    </cacheField>
    <cacheField name="Reorder Link" numFmtId="0">
      <sharedItems containsBlank="1" count="16">
        <s v="https://www.amazon.ca/gp/product/B018B7D05K/ref=ppx_yo_dt_b_asin_title_o06_s00?ie=UTF8&amp;psc=1_x000a_Amazon"/>
        <s v="https://www.amazon.ca/gp/product/B07CVBW44R/ref=ppx_yo_dt_b_asin_title_o06_s00?ie=UTF8&amp;psc=1_x000a_Amazon"/>
        <m/>
        <s v="https://spaenaur.com/_x000a_https://spaenaur.com/"/>
        <s v="https://www.mcmaster.com/_x000a_https://www.mcmaster.com/"/>
        <s v="https://www.mcmaster.com/catalog/128/3309_x000a_https://www.mcmaster.com/catalog/128/3309"/>
        <s v="https://www.mcmaster.com/catalog/128/3353_x000a_https://www.mcmaster.com/catalog/128/3353"/>
        <s v="https://www.mcmaster.com/catalog/128/3500_x000a_https://www.mcmaster.com/catalog/128/3500"/>
        <s v="https://www.mcmaster.com/catalog/128/3273_x000a_https://www.mcmaster.com/catalog/128/3273"/>
        <s v="https://www.mcmaster.com/catalog/128/3498_x000a_https://www.mcmaster.com/catalog/128/3498"/>
        <s v="https://www.mcmaster.com/catalog/128/3534_x000a_https://www.mcmaster.com/catalog/128/3534"/>
        <s v="https://www.mcmaster.com/spacer-washers/for-screw-size~m3/material~steel/_x000a_https://www.mcmaster.com/spacer-washers/for-screw-size~m3/material~steel/"/>
        <s v="https://www.robotshop.com/ca/fr/?___store=ca_fr&amp;___from_store=us_en_x000a_https://www.robotshop.com/ca/fr/?___store=ca_fr&amp;___from_store=us_en"/>
        <s v="https://robotshop.com/ca/en_x000a_https://robotshop.com/ca/en"/>
        <s v="https://www.robotshop.com/ca/en/8mm-id-x-24mm-length-linear-ball-bearings.html_x000a_https://www.robotshop.com/ca/en/8mm-id-x-24mm-length-linear-ball-bearings.html"/>
        <s v="https://www.robotshop.com/ca/en/_x000a_https://www.robotshop.com/ca/en/"/>
      </sharedItems>
    </cacheField>
    <cacheField name="Specs" numFmtId="0">
      <sharedItems containsBlank="1" count="73">
        <s v="1/8&quot; - Chrome Steel"/>
        <s v="3/16&quot; - Chrome Steel"/>
        <s v="5/32&quot; - Chrome Steel"/>
        <s v="7/32&quot; - Chrome Steel"/>
        <s v="1/4&quot; - Chrome Steel"/>
        <s v="5 mm x 11 mm x 4 mm"/>
        <s v="1/4-20 Threaded rod 1 foot"/>
        <m/>
        <s v="1&quot; dia x 1/8&quot; thick"/>
        <s v="2020-2021"/>
        <s v="5mm"/>
        <s v="6 mm"/>
        <s v="8 mm"/>
        <s v="10 mm"/>
        <s v="12 mm"/>
        <s v="20 mm"/>
        <s v="25 mm"/>
        <s v="35 mm"/>
        <s v="40 mm"/>
        <s v="1/2&quot;"/>
        <s v="WS-120"/>
        <s v="593-K02-1Y"/>
        <s v="593-005"/>
        <s v="WS-94"/>
        <s v="WS-20"/>
        <s v="593-KO5-1T"/>
        <s v="4&quot;"/>
        <s v="3/4&quot;"/>
        <s v="1&quot;"/>
        <s v="1 1/2&quot;"/>
        <s v="WS-56"/>
        <s v="385-084"/>
        <s v="385-B25-1Y"/>
        <s v="385-B07-1M"/>
        <s v="385-B56-1W"/>
        <s v="385-251"/>
        <s v="835-C39-1X"/>
        <s v="M3"/>
        <s v="385-B02-1C"/>
        <s v="385-B33-2M"/>
        <s v="385-116"/>
        <s v="B-1521"/>
        <s v="2&quot;"/>
        <s v="3&quot;"/>
        <s v="5&quot;"/>
        <s v="385-B26-1C"/>
        <s v="1 1/4&quot;"/>
        <s v="385-210"/>
        <s v="385-C28-1A"/>
        <s v="385-209"/>
        <s v="385-B38-1C"/>
        <s v="2 1/2&quot;"/>
        <s v="2 1/4&quot;"/>
        <s v="1 3/4&quot;"/>
        <s v="155-PO8-1T"/>
        <s v="155-P06-1C"/>
        <s v="3/8&quot;"/>
        <s v="1/4&quot;"/>
        <s v="3/32&quot;"/>
        <s v="1/8&quot;"/>
        <s v="5/32&quot;"/>
        <s v="3/16&quot;"/>
        <s v="8/32&quot; 155-P05-1Y"/>
        <s v="https://www.servocity.com/8mm-id-x-24mm-length-linear-ball-bearings/"/>
        <s v="https://www.servocity.com/5mm-id-x-12mm-od-flanged-ball-bearing-2-pack/"/>
        <s v="Mechatronics Kit"/>
        <s v="Arduino Nano RP2040 for IoT"/>
        <s v="Rental - Return to MYFab"/>
        <s v="385-B14-1C" u="1"/>
        <s v="30m" u="1"/>
        <s v="HN-69" u="1"/>
        <s v="385 B70 1W" u="1"/>
        <s v="385 B12 1P" u="1"/>
      </sharedItems>
    </cacheField>
    <cacheField name="Image" numFmtId="0">
      <sharedItems containsBlank="1" longText="1"/>
    </cacheField>
    <cacheField name="Stock" numFmtId="0">
      <sharedItems containsBlank="1" count="10">
        <s v="100"/>
        <s v="5"/>
        <m/>
        <s v="300"/>
        <s v="600"/>
        <s v="200"/>
        <s v="2200"/>
        <s v="350"/>
        <s v="85"/>
        <s v="41"/>
      </sharedItems>
    </cacheField>
    <cacheField name="Del_OutOfStock" numFmtId="0">
      <sharedItems containsBlank="1" count="7">
        <s v="In Stock"/>
        <s v="'Out of Stock'"/>
        <s v="'In Stock'"/>
        <s v="Out of Stock"/>
        <s v="3"/>
        <m/>
        <s v="-"/>
      </sharedItems>
    </cacheField>
    <cacheField name="FullName" numFmtId="0">
      <sharedItems/>
    </cacheField>
    <cacheField name="Del_IDSpecialtyHardware" numFmtId="0">
      <sharedItems count="1">
        <s v=" SPECIALTYHARDWARE"/>
      </sharedItems>
    </cacheField>
    <cacheField name="FilenameSpecs" numFmtId="0">
      <sharedItems/>
    </cacheField>
    <cacheField name="IDSpecialtyHardware" numFmtId="0">
      <sharedItems containsBlank="1" count="109">
        <s v="1 HARDWARE"/>
        <s v="2 HARDWARE"/>
        <s v="3 HARDWARE"/>
        <s v="4 HARDWARE"/>
        <s v="5 HARDWARE"/>
        <s v="6 HARDWARE"/>
        <s v="7 HARDWARE"/>
        <s v="8 HARDWARE"/>
        <s v="9 HARDWARE"/>
        <s v="10 HARDWARE"/>
        <s v="11 HARDWARE"/>
        <s v="12 HARDWARE"/>
        <s v="13 HARDWARE"/>
        <s v="14 HARDWARE"/>
        <s v="15 HARDWARE"/>
        <s v="16 HARDWARE"/>
        <s v="17 HARDWARE"/>
        <s v="18 HARDWARE"/>
        <s v="19 HARDWARE"/>
        <s v="20 HARDWARE"/>
        <s v="21 HARDWARE"/>
        <s v="22 HARDWARE"/>
        <s v="23 HARDWARE"/>
        <s v="24 HARDWARE"/>
        <s v="25 HARDWARE"/>
        <s v="27 HARDWARE"/>
        <s v="28 HARDWARE"/>
        <s v="29 HARDWARE"/>
        <s v="30 HARDWARE"/>
        <s v="31 HARDWARE"/>
        <s v="32 HARDWARE"/>
        <s v="33 HARDWARE"/>
        <s v="34 HARDWARE"/>
        <s v="35 HARDWARE"/>
        <s v="36 HARDWARE"/>
        <s v="37 HARDWARE"/>
        <s v="38 HARDWARE"/>
        <s v="39 HARDWARE"/>
        <s v="40 HARDWARE"/>
        <s v="41 HARDWARE"/>
        <s v="42 HARDWARE"/>
        <s v="43 HARDWARE"/>
        <s v="44 HARDWARE"/>
        <s v="45 HARDWARE"/>
        <s v="46 HARDWARE"/>
        <s v="47 HARDWARE"/>
        <s v="48 HARDWARE"/>
        <s v="49 HARDWARE"/>
        <s v="50 HARDWARE"/>
        <s v="51 HARDWARE"/>
        <s v="52 HARDWARE"/>
        <s v="53 HARDWARE"/>
        <s v="54 HARDWARE"/>
        <s v="55 HARDWARE"/>
        <s v="56 HARDWARE"/>
        <s v="57 HARDWARE"/>
        <s v="58 HARDWARE"/>
        <s v="59 HARDWARE"/>
        <s v="60 HARDWARE"/>
        <s v="61 HARDWARE"/>
        <s v="62 HARDWARE"/>
        <s v="63 HARDWARE"/>
        <s v="64 HARDWARE"/>
        <s v="65 HARDWARE"/>
        <s v="66 HARDWARE"/>
        <s v="67 HARDWARE"/>
        <s v="68 HARDWARE"/>
        <s v="69 HARDWARE"/>
        <s v="70 HARDWARE"/>
        <s v="71 HARDWARE"/>
        <s v="72 HARDWARE"/>
        <s v="73 HARDWARE"/>
        <s v="74 HARDWARE"/>
        <s v="75 HARDWARE"/>
        <s v="76 HARDWARE"/>
        <s v="77 HARDWARE"/>
        <s v="78 HARDWARE"/>
        <s v="79 HARDWARE"/>
        <s v="80 HARDWARE"/>
        <s v="81 HARDWARE"/>
        <s v="82 HARDWARE"/>
        <s v="83 HARDWARE"/>
        <s v="84 HARDWARE"/>
        <s v="85 HARDWARE"/>
        <s v="86 HARDWARE"/>
        <s v="87 HARDWARE"/>
        <s v="88 HARDWARE"/>
        <s v="89 HARDWARE"/>
        <s v="91 HARDWARE"/>
        <s v="92 HARDWARE"/>
        <s v="93 HARDWARE"/>
        <s v="94 HARDWARE"/>
        <s v="95 HARDWARE"/>
        <s v="96 HARDWARE"/>
        <s v="97 HARDWARE"/>
        <s v="98 HARDWARE"/>
        <s v="99 HARDWARE"/>
        <s v="100 HARDWARE"/>
        <s v="101 HARDWARE"/>
        <s v="102 HARDWARE"/>
        <s v="103 HARDWARE"/>
        <s v="104 HARDWARE"/>
        <s v="105 HARDWARE"/>
        <s v="106 HARDWARE"/>
        <s v="107 HARDWARE"/>
        <s v="108 HARDWARE"/>
        <s v="109 HARDWARE"/>
        <s v="110 HARDWARE"/>
        <m u="1"/>
      </sharedItems>
    </cacheField>
    <cacheField name="QTY_Ordered" numFmtId="0">
      <sharedItems containsString="0" containsBlank="1" containsNumber="1" containsInteger="1" minValue="0" maxValue="1000" count="10">
        <n v="0"/>
        <m/>
        <n v="400"/>
        <n v="200"/>
        <n v="1000"/>
        <n v="60"/>
        <n v="20"/>
        <n v="30"/>
        <n v="29"/>
        <n v="2"/>
      </sharedItems>
    </cacheField>
    <cacheField name="InventoryDate" numFmtId="0">
      <sharedItems containsNonDate="0" containsDate="1" containsString="0" containsBlank="1" minDate="2021-10-27T00:00:00" maxDate="2022-09-29T00:00:00" count="11">
        <m/>
        <d v="2021-11-10T00:00:00"/>
        <d v="2021-10-27T00:00:00"/>
        <d v="2021-11-04T00:00:00"/>
        <d v="2021-11-06T00:00:00"/>
        <d v="2021-11-07T00:00:00"/>
        <d v="2021-11-22T00:00:00"/>
        <d v="2022-02-18T00:00:00"/>
        <d v="2022-02-23T00:00:00"/>
        <d v="2022-08-10T00:00:00"/>
        <d v="2022-09-28T00:00:00"/>
      </sharedItems>
    </cacheField>
    <cacheField name="Category" numFmtId="0">
      <sharedItems containsBlank="1" count="10">
        <s v="Bearing balls"/>
        <s v="Misc"/>
        <s v="CourseKits"/>
        <s v="Machine screws"/>
        <s v="Nuts"/>
        <s v="Wooden screws"/>
        <s v="Washers"/>
        <s v="Hex bolts"/>
        <s v="Rivets"/>
        <m/>
      </sharedItems>
    </cacheField>
    <cacheField name="OutOfStock2" numFmtId="0">
      <sharedItems containsBlank="1" count="5">
        <m/>
        <s v="Out of Stock"/>
        <s v="-"/>
        <s v="* OUT OF STOCK -" u="1"/>
        <s v="Low Stock" u="1"/>
      </sharedItems>
    </cacheField>
    <cacheField name="ID" numFmtId="0">
      <sharedItems containsSemiMixedTypes="0" containsString="0" containsNumber="1" containsInteger="1" minValue="1" maxValue="110"/>
    </cacheField>
    <cacheField name="Created" numFmtId="0">
      <sharedItems containsSemiMixedTypes="0" containsNonDate="0" containsDate="1" containsString="0" minDate="2019-11-22T09:45:27" maxDate="2022-09-28T18:01:53"/>
    </cacheField>
    <cacheField name="Path" numFmtId="0">
      <sharedItems count="1">
        <s v="sites/fase-myhalfabrication/Lists/SpecialtyHardware"/>
      </sharedItems>
    </cacheField>
    <cacheField name="Item Type" numFmtId="0">
      <sharedItems count="1">
        <s v="Item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ff" refreshedDate="44851.703078009261" createdVersion="6" refreshedVersion="8" minRefreshableVersion="3" recordCount="95" xr:uid="{F1A38FF0-4310-434F-AE77-EECB378B4862}">
  <cacheSource type="external" connectionId="3"/>
  <cacheFields count="13">
    <cacheField name="Filename" numFmtId="0">
      <sharedItems count="99">
        <s v="Birch Ply 1/8&quot;"/>
        <s v="MDF 1/8&quot;"/>
        <s v="Acrylic Black 1/8&quot;"/>
        <s v="Acrylic Black 1/4&quot;"/>
        <s v="Acrylic White 1/8&quot;"/>
        <s v="Acrylic White 1/4&quot;"/>
        <s v="Acrylic Clear 1/16&quot;"/>
        <s v="Acrylic Clear 1/8&quot;"/>
        <s v="Acrylic Clear 1/4&quot;"/>
        <s v="Acrylic Frost 1/16&quot;"/>
        <s v="Acrylic Frost 1/8&quot;"/>
        <s v="Acrylic Frost 1/4&quot;"/>
        <s v="Birch Ply 3/4&quot;"/>
        <s v="Birch Ply 1/2&quot;"/>
        <s v="Spruce 2x4"/>
        <s v="Foam core white 1/8&quot;"/>
        <s v="XPS Blue 1/2&quot;"/>
        <s v="Honeycomb Board 1/2&quot;"/>
        <s v="Cardboard 5/32&quot;"/>
        <s v="Paperboard 1/16&quot;"/>
        <s v="Paperboard 1/32&quot;"/>
        <s v="Birch ply 1/4&quot;"/>
        <s v="MDF 1/2&quot;"/>
        <s v="Birch ply 1/32&quot;"/>
        <s v="PE foam White 1/2&quot;"/>
        <s v="Cardboard Double Wall 1/4&quot;"/>
        <s v="Cardboard 3/16&quot;"/>
        <s v="Foam core white 3/16&quot;"/>
        <s v="Foam core black 3/16&quot;"/>
        <s v="MDF 1/4&quot;"/>
        <s v="Spruce 2x2"/>
        <s v="Balsa sheet 1/32&quot;x6&quot;x12&quot;"/>
        <s v="Balsa sheet 1/8&quot;x6&quot;x12&quot;"/>
        <s v="Balsa sheet 1/32&quot;x3&quot;x12&quot;"/>
        <s v="Balsa sheet 1/8&quot;x3&quot;x12&quot;"/>
        <s v="Flexible plywood 13/64&quot;"/>
        <s v="Flexible plywood 5/16&quot;"/>
        <s v="Balsa block 1&quot;x1&quot;"/>
        <s v="Balsa block 2&quot;x2&quot;"/>
        <s v="Balsa block 3&quot;x3&quot;"/>
        <s v="Balsa sticks soft (specify size)"/>
        <s v="Birch dowel round (specify size)"/>
        <s v="Basswood stick square (specify size)"/>
        <s v="EPS Foam White 1/2&quot;"/>
        <s v="EPS Foam White 2&quot;"/>
        <s v="Particleboard 3/8&quot;"/>
        <s v="Particleboard 1/2&quot;"/>
        <s v="Acrylic Colored 1/8&quot;"/>
        <s v="Mat Board CIV102"/>
        <s v="Corrugated Plastic"/>
        <s v="Cardstock"/>
        <s v="Clear vinyl sheet"/>
        <s v="EVA black 1/8&quot;"/>
        <s v="EVA black 1/4&quot;"/>
        <s v="EVA black 1/2&quot;"/>
        <s v="Worbla black"/>
        <s v="PVC Pipe 1/2&quot;"/>
        <s v="PVC Pipe 3/4&quot;"/>
        <s v="PVC Pipe 1&quot;"/>
        <s v="Cardboard tube 2&quot;"/>
        <s v="Balsa sheet 1/16&quot;x6&quot;x12&quot;"/>
        <s v="Balsa sheet 1/16&quot;x3&quot;x12&quot;"/>
        <s v="Spruce 1x2"/>
        <s v="Pine board 12&quot;"/>
        <s v="Maple board 1&quot;"/>
        <s v="XPS Blue 2&quot;"/>
        <s v="Birch dowel 1/8&quot;"/>
        <s v="Birch dowel 3/16&quot;"/>
        <s v="Birch dowel 1/4&quot;"/>
        <s v="Birch dowel 5/16&quot;"/>
        <s v="Birch dowel 3/8&quot;"/>
        <s v="Birch dowel 7/16&quot;"/>
        <s v="Birch dowel 1/2&quot;"/>
        <s v="Birch dowel 5/8&quot;"/>
        <s v="Birch dowel 3/4&quot;"/>
        <s v="Birch dowel 7/8&quot;"/>
        <s v="Birch dowel 1&quot;"/>
        <s v="Birch dowel 1-1/8&quot;"/>
        <s v="Birch dowel 1-1/4&quot;"/>
        <s v="Bass stick 1/32 x 1/32&quot;"/>
        <s v="Bass stick 1/16 x 1/16&quot;"/>
        <s v="Bass stick 1/8 x 1/8&quot;"/>
        <s v="Bass stick 1/8 x 1/4&quot;"/>
        <s v="Bass stick 1/8 x 3/8&quot;"/>
        <s v="Bass stick 1/8 x 1/2&quot;"/>
        <s v="Bass stick 1/8 x 3/4&quot;"/>
        <s v="Bass stick 1/4 x 1/4&quot;"/>
        <s v="Bass stick 3/8 x 3/8&quot;"/>
        <s v="Bass stick 1/2 x 1/2&quot;"/>
        <s v="Bass stick 3/4 x 3/4&quot;"/>
        <s v="Bass stick 1 x 1&quot;"/>
        <s v="Flexible Tubing 1/8&quot; I.D., 3/16&quot; O.D."/>
        <s v="Flexible Tubing 1/4&quot; I.D. x 3/8&quot; O.D"/>
        <s v="Spruce 1x4"/>
        <s v="Flexible Tubing 1/8&quot; I.D x 1/4&quot; O.D."/>
        <s v="Flexible Tubing ID 3mm, OD 6mm" u="1"/>
        <s v="Balsa sheet 1/32&quot;&quot;" u="1"/>
        <s v="Balsa sheet 1/16&quot;" u="1"/>
        <s v="Balsa sheet 1/8&quot;" u="1"/>
      </sharedItems>
    </cacheField>
    <cacheField name="Subcategory" numFmtId="0">
      <sharedItems count="18">
        <s v="Birch Ply"/>
        <s v="MDF"/>
        <s v="Acrylic"/>
        <s v="Spruce"/>
        <s v="Foam"/>
        <s v="Cardboard"/>
        <s v="Balsa sheet"/>
        <s v="Flex plywood"/>
        <s v="Balsa Block"/>
        <s v="Sticks"/>
        <s v="Dowel"/>
        <s v="Board"/>
        <s v="Corrugated Plastic"/>
        <s v="Vynil Sheet"/>
        <s v="EVA"/>
        <s v="Worbla A Black"/>
        <s v="PVC Pipe"/>
        <s v="Tubing"/>
      </sharedItems>
    </cacheField>
    <cacheField name="Cost" numFmtId="0">
      <sharedItems containsString="0" containsBlank="1" containsNumber="1" minValue="0" maxValue="31.66" count="76">
        <n v="2.61"/>
        <n v="1.85"/>
        <n v="15.76"/>
        <n v="31.52"/>
        <n v="7.74"/>
        <n v="14.18"/>
        <n v="31.66"/>
        <n v="12.89"/>
        <n v="3.05"/>
        <n v="1.97"/>
        <n v="0.54"/>
        <n v="7.54"/>
        <n v="0.87"/>
        <n v="2.52"/>
        <n v="1.92"/>
        <n v="2.2799999999999998"/>
        <n v="0.51"/>
        <n v="1.22"/>
        <n v="1.04"/>
        <n v="13.3"/>
        <n v="3.23"/>
        <n v="4.71"/>
        <n v="3.62"/>
        <n v="4.7300000000000004"/>
        <n v="3.52"/>
        <n v="0.64"/>
        <n v="1.07"/>
        <n v="1.29"/>
        <n v="0.38"/>
        <n v="0.56000000000000005"/>
        <n v="1.26"/>
        <n v="1.63"/>
        <n v="1.81"/>
        <n v="5.29"/>
        <n v="11.91"/>
        <m/>
        <n v="3.73"/>
        <n v="15.47"/>
        <n v="0.9"/>
        <n v="19.34"/>
        <n v="0"/>
        <n v="7.5"/>
        <n v="0.12"/>
        <n v="2.15"/>
        <n v="2.6"/>
        <n v="3.58"/>
        <n v="7.88"/>
        <n v="0.56999999999999995"/>
        <n v="0.67"/>
        <n v="0.79"/>
        <n v="1.0900000000000001"/>
        <n v="0.27"/>
        <n v="10.029999999999999"/>
        <n v="2.5299999999999998"/>
        <n v="0.11"/>
        <n v="0.16"/>
        <n v="0.18"/>
        <n v="0.22"/>
        <n v="0.28000000000000003"/>
        <n v="0.48"/>
        <n v="1.1100000000000001"/>
        <n v="0.45"/>
        <n v="2.56"/>
        <n v="3.12"/>
        <n v="0.08"/>
        <n v="0.1"/>
        <n v="0.17"/>
        <n v="0.26"/>
        <n v="0.34"/>
        <n v="0.42"/>
        <n v="0.43"/>
        <n v="0.61"/>
        <n v="0.72"/>
        <n v="0.99"/>
        <n v="1.01"/>
        <n v="0.7"/>
      </sharedItems>
    </cacheField>
    <cacheField name="Image" numFmtId="0">
      <sharedItems containsBlank="1"/>
    </cacheField>
    <cacheField name="Full Name" numFmtId="0">
      <sharedItems/>
    </cacheField>
    <cacheField name="UnitSize" numFmtId="0">
      <sharedItems count="15">
        <s v="18&quot;x24&quot;"/>
        <s v="12&quot;x12&quot;"/>
        <s v="12&quot;"/>
        <s v="20&quot;x30&quot;"/>
        <s v="24&quot;x48&quot;"/>
        <s v="30&quot;x40&quot;"/>
        <s v="30&quot;x20&quot;"/>
        <s v="6&quot;x12&quot;"/>
        <s v="3&quot;x12&quot;"/>
        <s v="1 unit"/>
        <s v="8.5x11&quot;"/>
        <s v="36&quot;"/>
        <s v="24&quot;" u="1"/>
        <s v="6&quot;x24&quot;" u="1"/>
        <s v="18&quot;" u="1"/>
      </sharedItems>
    </cacheField>
    <cacheField name="DEL_OutofStock" numFmtId="0">
      <sharedItems containsString="0" containsBlank="1" count="1">
        <m/>
      </sharedItems>
    </cacheField>
    <cacheField name="IDMaterials" numFmtId="0">
      <sharedItems containsBlank="1" count="95">
        <s v="3 MATERIALS"/>
        <s v="9 MATERIALS"/>
        <s v="13 MATERIALS"/>
        <s v="14 MATERIALS"/>
        <s v="16 MATERIALS"/>
        <s v="17 MATERIALS"/>
        <s v="18 MATERIALS"/>
        <s v="19 MATERIALS"/>
        <s v="20 MATERIALS"/>
        <s v="21 MATERIALS"/>
        <s v="22 MATERIALS"/>
        <s v="23 MATERIALS"/>
        <s v="28 MATERIALS"/>
        <s v="29 MATERIALS"/>
        <s v="30 MATERIALS"/>
        <s v="31 MATERIALS"/>
        <s v="32 MATERIALS"/>
        <s v="33 MATERIALS"/>
        <s v="34 MATERIALS"/>
        <s v="35 MATERIALS"/>
        <s v="36 MATERIALS"/>
        <s v="46 MATERIALS"/>
        <s v="47 MATERIALS"/>
        <s v="51 MATERIALS"/>
        <s v="52 MATERIALS"/>
        <s v="53 MATERIALS"/>
        <s v="54 MATERIALS"/>
        <s v="55 MATERIALS"/>
        <s v="56 MATERIALS"/>
        <s v="57 MATERIALS"/>
        <s v="58 MATERIALS"/>
        <s v="59 MATERIALS"/>
        <s v="60 MATERIALS"/>
        <s v="62 MATERIALS"/>
        <s v="63 MATERIALS"/>
        <s v="64 MATERIALS"/>
        <s v="65 MATERIALS"/>
        <s v="66 MATERIALS"/>
        <s v="67 MATERIALS"/>
        <s v="68 MATERIALS"/>
        <s v="69 MATERIALS"/>
        <s v="70 MATERIALS"/>
        <s v="78 MATERIALS"/>
        <s v="83 MATERIALS"/>
        <s v="84 MATERIALS"/>
        <s v="85 MATERIALS"/>
        <s v="86 MATERIALS"/>
        <s v="87 MATERIALS"/>
        <s v="88 MATERIALS"/>
        <s v="89 MATERIALS"/>
        <s v="90 MATERIALS"/>
        <s v="91 MATERIALS"/>
        <s v="92 MATERIALS"/>
        <s v="93 MATERIALS"/>
        <s v="94 MATERIALS"/>
        <s v="95 MATERIALS"/>
        <s v="96 MATERIALS"/>
        <s v="97 MATERIALS"/>
        <s v="98 MATERIALS"/>
        <s v="99 MATERIALS"/>
        <s v="100 MATERIALS"/>
        <s v="101 MATERIALS"/>
        <s v="102 MATERIALS"/>
        <s v="103 MATERIALS"/>
        <s v="104 MATERIALS"/>
        <s v="105 MATERIALS"/>
        <s v="111 MATERIALS"/>
        <s v="112 MATERIALS"/>
        <s v="113 MATERIALS"/>
        <s v="114 MATERIALS"/>
        <s v="115 MATERIALS"/>
        <s v="116 MATERIALS"/>
        <s v="117 MATERIALS"/>
        <s v="118 MATERIALS"/>
        <s v="119 MATERIALS"/>
        <s v="120 MATERIALS"/>
        <s v="121 MATERIALS"/>
        <s v="122 MATERIALS"/>
        <s v="123 MATERIALS"/>
        <s v="124 MATERIALS"/>
        <s v="125 MATERIALS"/>
        <s v="126 MATERIALS"/>
        <s v="127 MATERIALS"/>
        <s v="128 MATERIALS"/>
        <s v="129 MATERIALS"/>
        <s v="130 MATERIALS"/>
        <s v="131 MATERIALS"/>
        <s v="132 MATERIALS"/>
        <s v="133 MATERIALS"/>
        <s v="134 MATERIALS"/>
        <s v="135 MATERIALS"/>
        <s v="136 MATERIALS"/>
        <s v="137 MATERIALS"/>
        <s v="138 MATERIALS"/>
        <m/>
      </sharedItems>
    </cacheField>
    <cacheField name="Stock" numFmtId="0">
      <sharedItems containsString="0" containsBlank="1" containsNumber="1" containsInteger="1" minValue="50" maxValue="50" count="2">
        <m/>
        <n v="50"/>
      </sharedItems>
    </cacheField>
    <cacheField name="LaserCompatible" numFmtId="0">
      <sharedItems count="2">
        <b v="1"/>
        <b v="0"/>
      </sharedItems>
    </cacheField>
    <cacheField name="OutOfStock2" numFmtId="0">
      <sharedItems containsBlank="1" count="3">
        <m/>
        <s v="Out of Stock"/>
        <s v="-"/>
      </sharedItems>
    </cacheField>
    <cacheField name="Path" numFmtId="0">
      <sharedItems count="1">
        <s v="sites/fase-myhalfabrication/Lists/Consumables  list"/>
      </sharedItems>
    </cacheField>
    <cacheField name="Item Type" numFmtId="0">
      <sharedItems count="1">
        <s v="Item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7">
  <r>
    <n v="6"/>
    <x v="0"/>
    <d v="2021-08-24T10:57:50"/>
    <x v="0"/>
    <x v="0"/>
    <n v="2.72"/>
    <s v="https://media.digikey.com/Photos/Chip%20Quik%20Photos/MFG_SBB1005-1.jpg_x000a_"/>
    <x v="0"/>
    <x v="0"/>
    <x v="0"/>
    <x v="0"/>
    <x v="0"/>
    <x v="0"/>
    <x v="0"/>
    <x v="0"/>
    <x v="0"/>
    <x v="0"/>
  </r>
  <r>
    <n v="7"/>
    <x v="1"/>
    <d v="2021-08-24T11:00:00"/>
    <x v="0"/>
    <x v="0"/>
    <n v="4.6100000000000003"/>
    <s v="https://media.digikey.com/Photos/Chip%20Quik%20Photos/MFG_SBB1605-1.jpg_x000a_"/>
    <x v="0"/>
    <x v="1"/>
    <x v="0"/>
    <x v="0"/>
    <x v="1"/>
    <x v="0"/>
    <x v="1"/>
    <x v="0"/>
    <x v="0"/>
    <x v="0"/>
  </r>
  <r>
    <n v="9"/>
    <x v="2"/>
    <d v="2021-08-24T11:04:44"/>
    <x v="0"/>
    <x v="0"/>
    <n v="0.33"/>
    <s v="https://media.digikey.com/Photos/Alpha%20Wire%20Photos/HOOK-UP-SOLID-BLACK.jpg_x000a_"/>
    <x v="0"/>
    <x v="2"/>
    <x v="1"/>
    <x v="0"/>
    <x v="2"/>
    <x v="0"/>
    <x v="2"/>
    <x v="0"/>
    <x v="0"/>
    <x v="0"/>
  </r>
  <r>
    <n v="10"/>
    <x v="3"/>
    <d v="2021-08-24T11:07:11"/>
    <x v="0"/>
    <x v="0"/>
    <n v="0.33"/>
    <s v="https://media.digikey.com/Photos/Alpha%20Wire%20Photos/HOOK-UP-SOLID-BLUE.jpg_x000a_"/>
    <x v="0"/>
    <x v="3"/>
    <x v="2"/>
    <x v="0"/>
    <x v="2"/>
    <x v="0"/>
    <x v="3"/>
    <x v="0"/>
    <x v="0"/>
    <x v="0"/>
  </r>
  <r>
    <n v="11"/>
    <x v="4"/>
    <d v="2021-08-24T11:12:22"/>
    <x v="0"/>
    <x v="0"/>
    <n v="1.21"/>
    <s v="https://canada.newark.com/productimages/standard/en_US/20X1009-40.jpg_x000a_"/>
    <x v="0"/>
    <x v="4"/>
    <x v="3"/>
    <x v="0"/>
    <x v="3"/>
    <x v="0"/>
    <x v="4"/>
    <x v="0"/>
    <x v="0"/>
    <x v="0"/>
  </r>
  <r>
    <n v="12"/>
    <x v="5"/>
    <d v="2021-08-24T11:14:46"/>
    <x v="0"/>
    <x v="0"/>
    <n v="1.18"/>
    <s v="https://canada.newark.com/productimages/standard/en_US/34P9355-40.jpg_x000a_"/>
    <x v="0"/>
    <x v="5"/>
    <x v="1"/>
    <x v="0"/>
    <x v="4"/>
    <x v="0"/>
    <x v="5"/>
    <x v="1"/>
    <x v="0"/>
    <x v="0"/>
  </r>
  <r>
    <n v="13"/>
    <x v="6"/>
    <d v="2021-08-24T11:16:21"/>
    <x v="0"/>
    <x v="0"/>
    <n v="2"/>
    <s v="https://www.mouser.ca/images/stmicroelectronics/images/TO_220_3_t.jpg_x000a_"/>
    <x v="1"/>
    <x v="6"/>
    <x v="1"/>
    <x v="0"/>
    <x v="5"/>
    <x v="0"/>
    <x v="6"/>
    <x v="0"/>
    <x v="0"/>
    <x v="0"/>
  </r>
  <r>
    <n v="15"/>
    <x v="7"/>
    <d v="2021-08-24T11:20:15"/>
    <x v="0"/>
    <x v="0"/>
    <n v="4.74"/>
    <s v="https://media.digikey.com/Photos/TE%20Connectivity/MT2-AXICOM.jpg_x000a_"/>
    <x v="2"/>
    <x v="7"/>
    <x v="4"/>
    <x v="0"/>
    <x v="6"/>
    <x v="0"/>
    <x v="7"/>
    <x v="0"/>
    <x v="0"/>
    <x v="0"/>
  </r>
  <r>
    <n v="18"/>
    <x v="8"/>
    <d v="2021-08-24T11:34:57"/>
    <x v="0"/>
    <x v="0"/>
    <n v="2.1"/>
    <s v="https://media.digikey.com/Renders/Fairchild%20Semi%20Renders/TO-220-3.jpg_x000a_"/>
    <x v="2"/>
    <x v="8"/>
    <x v="1"/>
    <x v="0"/>
    <x v="7"/>
    <x v="0"/>
    <x v="8"/>
    <x v="0"/>
    <x v="0"/>
    <x v="0"/>
  </r>
  <r>
    <n v="20"/>
    <x v="9"/>
    <d v="2021-08-24T11:39:33"/>
    <x v="0"/>
    <x v="0"/>
    <n v="0.2"/>
    <s v="https://media.digikey.com/photos/Yageo%20Photos/CFR-25JB-820K.jpg_x000a_"/>
    <x v="2"/>
    <x v="9"/>
    <x v="5"/>
    <x v="0"/>
    <x v="8"/>
    <x v="0"/>
    <x v="9"/>
    <x v="0"/>
    <x v="0"/>
    <x v="0"/>
  </r>
  <r>
    <n v="21"/>
    <x v="10"/>
    <d v="2021-08-24T11:41:22"/>
    <x v="0"/>
    <x v="0"/>
    <n v="0.19"/>
    <s v="https://media.digikey.com/Renders/Vishay%20Semi%20Renders/112;DO204AL,,DO-41;;2.jpg_x000a_"/>
    <x v="2"/>
    <x v="10"/>
    <x v="6"/>
    <x v="0"/>
    <x v="9"/>
    <x v="0"/>
    <x v="10"/>
    <x v="0"/>
    <x v="0"/>
    <x v="0"/>
  </r>
  <r>
    <n v="31"/>
    <x v="11"/>
    <d v="2021-08-24T12:00:58"/>
    <x v="0"/>
    <x v="0"/>
    <n v="2.2200000000000002"/>
    <s v="https://www.mouser.ca/images/adi/images/ITP_ADI_TO-92-3_T-3-1_t.jpg_x000a_"/>
    <x v="3"/>
    <x v="11"/>
    <x v="2"/>
    <x v="0"/>
    <x v="10"/>
    <x v="0"/>
    <x v="11"/>
    <x v="0"/>
    <x v="0"/>
    <x v="0"/>
  </r>
  <r>
    <n v="40"/>
    <x v="12"/>
    <d v="2021-08-24T12:39:17"/>
    <x v="0"/>
    <x v="0"/>
    <n v="0.35"/>
    <s v="https://media.digikey.com/Photos/Everlight%20Electronics/MV5754A.JPG_x000a_"/>
    <x v="2"/>
    <x v="12"/>
    <x v="7"/>
    <x v="0"/>
    <x v="11"/>
    <x v="0"/>
    <x v="12"/>
    <x v="0"/>
    <x v="0"/>
    <x v="0"/>
  </r>
  <r>
    <n v="43"/>
    <x v="13"/>
    <d v="2021-09-16T16:56:41"/>
    <x v="0"/>
    <x v="0"/>
    <n v="0.33"/>
    <s v="https://media.digikey.com/Photos/Daburn%20Elect.%20Photos/HOOK-UP-SOLID-VIOLET.jpg_x000a_"/>
    <x v="0"/>
    <x v="9"/>
    <x v="2"/>
    <x v="0"/>
    <x v="2"/>
    <x v="0"/>
    <x v="13"/>
    <x v="0"/>
    <x v="0"/>
    <x v="0"/>
  </r>
  <r>
    <n v="44"/>
    <x v="14"/>
    <d v="2021-09-16T16:58:33"/>
    <x v="0"/>
    <x v="0"/>
    <n v="0.33"/>
    <s v="https://media.digikey.com/Photos/Daburn%20Elect.%20Photos/HOOK-UP-SOLID-YELLOW.jpg_x000a_"/>
    <x v="0"/>
    <x v="9"/>
    <x v="2"/>
    <x v="0"/>
    <x v="2"/>
    <x v="0"/>
    <x v="14"/>
    <x v="0"/>
    <x v="0"/>
    <x v="0"/>
  </r>
  <r>
    <n v="45"/>
    <x v="15"/>
    <d v="2021-09-16T17:00:09"/>
    <x v="0"/>
    <x v="0"/>
    <n v="0.33"/>
    <s v="https://media.digikey.com/Photos/Daburn%20Elect.%20Photos/HOOK-UP-SOLID-BROWN.jpg_x000a_"/>
    <x v="0"/>
    <x v="9"/>
    <x v="2"/>
    <x v="0"/>
    <x v="2"/>
    <x v="0"/>
    <x v="15"/>
    <x v="0"/>
    <x v="0"/>
    <x v="0"/>
  </r>
  <r>
    <n v="56"/>
    <x v="16"/>
    <d v="2021-09-24T14:03:17"/>
    <x v="0"/>
    <x v="0"/>
    <n v="0.17"/>
    <s v="https://cdn.sparkfun.com//assets/parts/2/5/5/7/09140-02-L.jpg_x000a_"/>
    <x v="0"/>
    <x v="9"/>
    <x v="8"/>
    <x v="0"/>
    <x v="12"/>
    <x v="0"/>
    <x v="16"/>
    <x v="0"/>
    <x v="0"/>
    <x v="0"/>
  </r>
  <r>
    <n v="57"/>
    <x v="17"/>
    <d v="2021-09-24T14:04:26"/>
    <x v="0"/>
    <x v="0"/>
    <n v="0.17"/>
    <s v="https://media.digikey.com/photos/Microchip%20Tech%20Photos/AC163029.JPG_x000a_"/>
    <x v="0"/>
    <x v="9"/>
    <x v="8"/>
    <x v="0"/>
    <x v="12"/>
    <x v="0"/>
    <x v="17"/>
    <x v="0"/>
    <x v="0"/>
    <x v="0"/>
  </r>
  <r>
    <n v="58"/>
    <x v="18"/>
    <d v="2021-09-24T14:07:41"/>
    <x v="0"/>
    <x v="0"/>
    <n v="0.17"/>
    <s v="https://cdn.sparkfun.com//assets/parts/3/7/0/4/11026-Jumper_Wires_Standard_7in._M_M_-_30_AWG__30_Pack_-01.jpg_x000a_"/>
    <x v="0"/>
    <x v="9"/>
    <x v="8"/>
    <x v="0"/>
    <x v="12"/>
    <x v="0"/>
    <x v="18"/>
    <x v="0"/>
    <x v="0"/>
    <x v="0"/>
  </r>
  <r>
    <n v="59"/>
    <x v="19"/>
    <d v="2021-09-24T15:35:04"/>
    <x v="0"/>
    <x v="0"/>
    <n v="0.33"/>
    <s v="https://media.digikey.com/Photos/Alpha%20Wire%20Photos/HOOK-UP-SOLID-GREEN.jpg_x000a_"/>
    <x v="0"/>
    <x v="9"/>
    <x v="9"/>
    <x v="0"/>
    <x v="2"/>
    <x v="0"/>
    <x v="19"/>
    <x v="0"/>
    <x v="0"/>
    <x v="0"/>
  </r>
  <r>
    <n v="60"/>
    <x v="20"/>
    <d v="2021-09-24T15:39:51"/>
    <x v="0"/>
    <x v="0"/>
    <n v="0.33"/>
    <s v="https://media.digikey.com/Photos/Alpha%20Wire%20Photos/HOOK-UP-SOLID-RED.jpg_x000a_"/>
    <x v="0"/>
    <x v="9"/>
    <x v="10"/>
    <x v="0"/>
    <x v="2"/>
    <x v="0"/>
    <x v="20"/>
    <x v="0"/>
    <x v="0"/>
    <x v="0"/>
  </r>
  <r>
    <n v="65"/>
    <x v="21"/>
    <d v="2021-10-27T10:54:48"/>
    <x v="0"/>
    <x v="0"/>
    <n v="1.1000000000000001"/>
    <s v="https://media.digikey.com/Photos/Wurth%20Electronics%20Photos/61302011121.JPG_x000a_"/>
    <x v="0"/>
    <x v="13"/>
    <x v="11"/>
    <x v="0"/>
    <x v="13"/>
    <x v="0"/>
    <x v="21"/>
    <x v="0"/>
    <x v="0"/>
    <x v="0"/>
  </r>
  <r>
    <n v="73"/>
    <x v="22"/>
    <d v="2021-11-04T14:03:31"/>
    <x v="0"/>
    <x v="0"/>
    <n v="1.24"/>
    <s v="https://www.mouser.ca/images/stmicroelectronics/images/to-220.jpg_x000a_"/>
    <x v="1"/>
    <x v="14"/>
    <x v="0"/>
    <x v="0"/>
    <x v="14"/>
    <x v="0"/>
    <x v="22"/>
    <x v="0"/>
    <x v="0"/>
    <x v="0"/>
  </r>
  <r>
    <n v="75"/>
    <x v="23"/>
    <d v="2021-11-04T14:50:48"/>
    <x v="0"/>
    <x v="0"/>
    <n v="1.47"/>
    <s v="https://media.digikey.com/Renders/STMicro%20Renders/497~TO220-3TO220AB~~3.JPG_x000a_"/>
    <x v="1"/>
    <x v="15"/>
    <x v="8"/>
    <x v="0"/>
    <x v="15"/>
    <x v="0"/>
    <x v="23"/>
    <x v="0"/>
    <x v="0"/>
    <x v="0"/>
  </r>
  <r>
    <n v="78"/>
    <x v="24"/>
    <d v="2021-11-06T11:15:58"/>
    <x v="0"/>
    <x v="0"/>
    <n v="7.0000000000000007E-2"/>
    <s v="https://mainframecustom.com/wp-content/uploads/2014/10/2pin-Dupont-1.jpg_x000a_"/>
    <x v="0"/>
    <x v="9"/>
    <x v="8"/>
    <x v="0"/>
    <x v="16"/>
    <x v="0"/>
    <x v="24"/>
    <x v="0"/>
    <x v="0"/>
    <x v="0"/>
  </r>
  <r>
    <n v="79"/>
    <x v="25"/>
    <d v="2021-11-06T11:18:47"/>
    <x v="0"/>
    <x v="0"/>
    <n v="7.0000000000000007E-2"/>
    <s v="https://d3s11pzv7w3h1q.cloudfront.net/wp-content/uploads/CN-DU-H03.jpg_x000a_"/>
    <x v="0"/>
    <x v="9"/>
    <x v="8"/>
    <x v="0"/>
    <x v="16"/>
    <x v="0"/>
    <x v="25"/>
    <x v="0"/>
    <x v="0"/>
    <x v="0"/>
  </r>
  <r>
    <n v="80"/>
    <x v="26"/>
    <d v="2021-11-06T11:19:52"/>
    <x v="0"/>
    <x v="0"/>
    <n v="7.0000000000000007E-2"/>
    <s v="https://dojft4652t1in.cloudfront.net/wp-content/uploads/CN-DU-H05.jpg_x000a_"/>
    <x v="0"/>
    <x v="9"/>
    <x v="8"/>
    <x v="0"/>
    <x v="16"/>
    <x v="0"/>
    <x v="26"/>
    <x v="0"/>
    <x v="0"/>
    <x v="0"/>
  </r>
  <r>
    <n v="81"/>
    <x v="27"/>
    <d v="2021-11-06T11:20:52"/>
    <x v="0"/>
    <x v="0"/>
    <n v="7.0000000000000007E-2"/>
    <s v="https://dojft4652t1in.cloudfront.net/wp-content/uploads/CN-DU-H06.jpg_x000a_"/>
    <x v="0"/>
    <x v="9"/>
    <x v="8"/>
    <x v="0"/>
    <x v="16"/>
    <x v="0"/>
    <x v="27"/>
    <x v="0"/>
    <x v="0"/>
    <x v="0"/>
  </r>
  <r>
    <n v="82"/>
    <x v="28"/>
    <d v="2021-11-06T11:22:32"/>
    <x v="0"/>
    <x v="0"/>
    <n v="7.0000000000000007E-2"/>
    <s v="https://ae01.alicdn.com/kf/HTB1az_LwkKWBuNjy1zjq6AOypXa1/50PCS-High-Quality-2-54mm-7P-Dupont-Housing-Plastic-Shell-7-Pin-Dupont-Connector-Dupont-Jumper.jpg_Q90.jpg_.webp_x000a_"/>
    <x v="0"/>
    <x v="9"/>
    <x v="8"/>
    <x v="0"/>
    <x v="16"/>
    <x v="0"/>
    <x v="28"/>
    <x v="0"/>
    <x v="0"/>
    <x v="0"/>
  </r>
  <r>
    <n v="83"/>
    <x v="29"/>
    <d v="2021-11-06T11:23:19"/>
    <x v="0"/>
    <x v="0"/>
    <n v="7.0000000000000007E-2"/>
    <s v="https://d3s11pzv7w3h1q.cloudfront.net/wp-content/uploads/CN-DU-H08.jpg_x000a_"/>
    <x v="0"/>
    <x v="9"/>
    <x v="8"/>
    <x v="0"/>
    <x v="16"/>
    <x v="0"/>
    <x v="29"/>
    <x v="0"/>
    <x v="0"/>
    <x v="0"/>
  </r>
  <r>
    <n v="84"/>
    <x v="30"/>
    <d v="2021-11-06T11:24:49"/>
    <x v="0"/>
    <x v="0"/>
    <n v="7.0000000000000007E-2"/>
    <s v="https://d21d43znxvr466.cloudfront.net/wp-content/uploads/CN-DU-H09.jpg_x000a_"/>
    <x v="0"/>
    <x v="9"/>
    <x v="8"/>
    <x v="0"/>
    <x v="16"/>
    <x v="0"/>
    <x v="30"/>
    <x v="0"/>
    <x v="0"/>
    <x v="0"/>
  </r>
  <r>
    <n v="85"/>
    <x v="31"/>
    <d v="2021-11-06T11:25:40"/>
    <x v="0"/>
    <x v="0"/>
    <n v="7.0000000000000007E-2"/>
    <s v="https://dojft4652t1in.cloudfront.net/wp-content/uploads/CN-DU-H10.jpg_x000a_"/>
    <x v="0"/>
    <x v="9"/>
    <x v="8"/>
    <x v="0"/>
    <x v="16"/>
    <x v="0"/>
    <x v="31"/>
    <x v="0"/>
    <x v="0"/>
    <x v="0"/>
  </r>
  <r>
    <n v="86"/>
    <x v="32"/>
    <d v="2021-11-06T11:42:11"/>
    <x v="0"/>
    <x v="0"/>
    <n v="0.44"/>
    <s v="https://www.futurlec.com/Pictures/Package/ARDHEAD4_200.jpg_x000a_"/>
    <x v="0"/>
    <x v="9"/>
    <x v="8"/>
    <x v="0"/>
    <x v="17"/>
    <x v="0"/>
    <x v="32"/>
    <x v="0"/>
    <x v="0"/>
    <x v="0"/>
  </r>
  <r>
    <n v="87"/>
    <x v="33"/>
    <d v="2021-11-06T11:43:04"/>
    <x v="0"/>
    <x v="0"/>
    <n v="0.12"/>
    <s v="http://cdn.shopify.com/s/files/1/0915/1182/products/09280-1_600x.jpg?v=1473879125_x000a_"/>
    <x v="0"/>
    <x v="9"/>
    <x v="8"/>
    <x v="0"/>
    <x v="18"/>
    <x v="0"/>
    <x v="33"/>
    <x v="0"/>
    <x v="0"/>
    <x v="0"/>
  </r>
  <r>
    <n v="88"/>
    <x v="34"/>
    <d v="2021-11-06T11:48:32"/>
    <x v="0"/>
    <x v="0"/>
    <n v="0.2"/>
    <s v="https://images-na.ssl-images-amazon.com/images/I/51ReUgFXBCL._AC_SY355_.jpg_x000a_"/>
    <x v="0"/>
    <x v="9"/>
    <x v="8"/>
    <x v="0"/>
    <x v="8"/>
    <x v="0"/>
    <x v="34"/>
    <x v="0"/>
    <x v="0"/>
    <x v="0"/>
  </r>
  <r>
    <n v="89"/>
    <x v="35"/>
    <d v="2021-11-06T11:49:14"/>
    <x v="0"/>
    <x v="0"/>
    <n v="0.42"/>
    <s v="https://sc02.alicdn.com/kf/Hecf90214385e4cb8a44590b95b93ef49B/240501450/Hecf90214385e4cb8a44590b95b93ef49B.jpg_.webp_x000a_"/>
    <x v="0"/>
    <x v="9"/>
    <x v="8"/>
    <x v="0"/>
    <x v="19"/>
    <x v="0"/>
    <x v="35"/>
    <x v="0"/>
    <x v="0"/>
    <x v="0"/>
  </r>
  <r>
    <n v="94"/>
    <x v="36"/>
    <d v="2021-11-06T12:04:09"/>
    <x v="0"/>
    <x v="0"/>
    <n v="0.89"/>
    <s v="https://highclouds.co/wp-content/uploads/2020/07/DC-female-jack-wired.jpg_x000a_"/>
    <x v="0"/>
    <x v="9"/>
    <x v="8"/>
    <x v="0"/>
    <x v="20"/>
    <x v="0"/>
    <x v="36"/>
    <x v="0"/>
    <x v="0"/>
    <x v="0"/>
  </r>
  <r>
    <n v="95"/>
    <x v="37"/>
    <d v="2021-11-06T12:04:45"/>
    <x v="0"/>
    <x v="0"/>
    <n v="0.89"/>
    <s v="https://lampatronics.com/wp-content/uploads/2016/08/dc-55mm-x-25mm-jack-male-pigtail-connector-20cm-wi.jpg_x000a_"/>
    <x v="0"/>
    <x v="9"/>
    <x v="8"/>
    <x v="0"/>
    <x v="20"/>
    <x v="0"/>
    <x v="37"/>
    <x v="0"/>
    <x v="0"/>
    <x v="0"/>
  </r>
  <r>
    <n v="102"/>
    <x v="38"/>
    <d v="2021-11-07T10:24:54"/>
    <x v="0"/>
    <x v="0"/>
    <n v="0.03"/>
    <s v="https://5.imimg.com/data5/MG/WS/MY-10637014/jwco-capacitor-500x500.jpg_x000a_"/>
    <x v="2"/>
    <x v="9"/>
    <x v="8"/>
    <x v="0"/>
    <x v="21"/>
    <x v="0"/>
    <x v="38"/>
    <x v="0"/>
    <x v="0"/>
    <x v="0"/>
  </r>
  <r>
    <n v="103"/>
    <x v="39"/>
    <d v="2021-11-07T10:25:47"/>
    <x v="0"/>
    <x v="0"/>
    <n v="0.12"/>
    <s v="https://cdn.shopify.com/s/files/1/0174/1800/products/ctc_2_5mmradmlcc.jpg?v=1380728784_x000a_"/>
    <x v="2"/>
    <x v="9"/>
    <x v="9"/>
    <x v="0"/>
    <x v="18"/>
    <x v="0"/>
    <x v="39"/>
    <x v="0"/>
    <x v="0"/>
    <x v="0"/>
  </r>
  <r>
    <n v="104"/>
    <x v="40"/>
    <d v="2021-11-07T10:27:23"/>
    <x v="0"/>
    <x v="0"/>
    <n v="0.06"/>
    <s v="https://i.ebayimg.com/images/g/RkAAAOSwKTBZcvtP/s-l300.jpg_x000a_"/>
    <x v="2"/>
    <x v="9"/>
    <x v="8"/>
    <x v="0"/>
    <x v="22"/>
    <x v="0"/>
    <x v="40"/>
    <x v="0"/>
    <x v="0"/>
    <x v="0"/>
  </r>
  <r>
    <n v="111"/>
    <x v="41"/>
    <d v="2021-11-07T11:23:04"/>
    <x v="0"/>
    <x v="0"/>
    <n v="1.62"/>
    <s v="https://secure.sayal.com/images_tnx/TNX_TO218.JPG_x000a_"/>
    <x v="2"/>
    <x v="16"/>
    <x v="8"/>
    <x v="0"/>
    <x v="23"/>
    <x v="0"/>
    <x v="41"/>
    <x v="0"/>
    <x v="0"/>
    <x v="0"/>
  </r>
  <r>
    <n v="112"/>
    <x v="42"/>
    <d v="2021-11-11T16:52:48"/>
    <x v="0"/>
    <x v="0"/>
    <n v="1.28"/>
    <s v="https://www.mouser.ca/images/stmicroelectronics/lrg/to-220.jpg_x000a_"/>
    <x v="1"/>
    <x v="17"/>
    <x v="12"/>
    <x v="0"/>
    <x v="24"/>
    <x v="0"/>
    <x v="42"/>
    <x v="0"/>
    <x v="0"/>
    <x v="0"/>
  </r>
  <r>
    <n v="113"/>
    <x v="43"/>
    <d v="2021-11-22T15:26:17"/>
    <x v="0"/>
    <x v="0"/>
    <n v="2.4900000000000002"/>
    <s v="https://www.bearingscanada.com/v/vspfiles/photos/D19-L25-4X10MM-COUPLING-2T.jpg?v-cache=1623315117_x000a_"/>
    <x v="4"/>
    <x v="9"/>
    <x v="13"/>
    <x v="0"/>
    <x v="25"/>
    <x v="0"/>
    <x v="43"/>
    <x v="0"/>
    <x v="0"/>
    <x v="0"/>
  </r>
  <r>
    <n v="119"/>
    <x v="44"/>
    <d v="2022-01-03T14:43:18"/>
    <x v="0"/>
    <x v="0"/>
    <n v="0.01"/>
    <s v="https://media.digikey.com/Renders/Stackpole%20Renders/CF%20220.jpg_x000a_"/>
    <x v="2"/>
    <x v="18"/>
    <x v="14"/>
    <x v="0"/>
    <x v="26"/>
    <x v="0"/>
    <x v="44"/>
    <x v="0"/>
    <x v="0"/>
    <x v="0"/>
  </r>
  <r>
    <n v="120"/>
    <x v="45"/>
    <d v="2022-01-03T14:45:01"/>
    <x v="0"/>
    <x v="0"/>
    <n v="0.01"/>
    <s v="https://media.digikey.com/Renders/Stackpole%20Renders/CF%20330.jpg_x000a_"/>
    <x v="2"/>
    <x v="18"/>
    <x v="14"/>
    <x v="0"/>
    <x v="26"/>
    <x v="0"/>
    <x v="45"/>
    <x v="0"/>
    <x v="0"/>
    <x v="0"/>
  </r>
  <r>
    <n v="121"/>
    <x v="46"/>
    <d v="2022-01-03T14:46:32"/>
    <x v="0"/>
    <x v="0"/>
    <n v="0.01"/>
    <s v="https://media.digikey.com/Renders/Stackpole%20Renders/CF%201k.jpg_x000a_"/>
    <x v="2"/>
    <x v="18"/>
    <x v="14"/>
    <x v="0"/>
    <x v="26"/>
    <x v="0"/>
    <x v="46"/>
    <x v="0"/>
    <x v="0"/>
    <x v="0"/>
  </r>
  <r>
    <n v="122"/>
    <x v="47"/>
    <d v="2022-01-03T14:47:52"/>
    <x v="0"/>
    <x v="0"/>
    <n v="0.01"/>
    <s v="https://media.digikey.com/Renders/Stackpole%20Renders/CF%202k.jpg_x000a_"/>
    <x v="2"/>
    <x v="18"/>
    <x v="14"/>
    <x v="0"/>
    <x v="26"/>
    <x v="0"/>
    <x v="47"/>
    <x v="0"/>
    <x v="0"/>
    <x v="0"/>
  </r>
  <r>
    <n v="123"/>
    <x v="48"/>
    <d v="2022-01-03T14:49:03"/>
    <x v="0"/>
    <x v="0"/>
    <n v="0.01"/>
    <s v="https://media.digikey.com/Renders/Stackpole%20Renders/CFMSeries%205-1k.jpg_x000a_"/>
    <x v="2"/>
    <x v="18"/>
    <x v="14"/>
    <x v="0"/>
    <x v="26"/>
    <x v="0"/>
    <x v="48"/>
    <x v="0"/>
    <x v="0"/>
    <x v="0"/>
  </r>
  <r>
    <n v="124"/>
    <x v="49"/>
    <d v="2022-01-03T14:50:18"/>
    <x v="0"/>
    <x v="0"/>
    <n v="0.01"/>
    <s v="https://media.digikey.com/Renders/Stackpole%20Renders/CF%2010k.jpg_x000a_"/>
    <x v="2"/>
    <x v="18"/>
    <x v="14"/>
    <x v="0"/>
    <x v="26"/>
    <x v="0"/>
    <x v="49"/>
    <x v="0"/>
    <x v="0"/>
    <x v="0"/>
  </r>
  <r>
    <n v="128"/>
    <x v="50"/>
    <d v="2022-02-01T09:56:26"/>
    <x v="0"/>
    <x v="0"/>
    <n v="0.5"/>
    <s v="https://media.digikey.com/Photos/Aavid%20Thermalloy%20Photos/577102B00000G.JPG_x000a_"/>
    <x v="2"/>
    <x v="19"/>
    <x v="8"/>
    <x v="0"/>
    <x v="27"/>
    <x v="0"/>
    <x v="50"/>
    <x v="0"/>
    <x v="0"/>
    <x v="0"/>
  </r>
  <r>
    <n v="157"/>
    <x v="51"/>
    <d v="2022-03-15T10:33:34"/>
    <x v="0"/>
    <x v="0"/>
    <n v="0.89"/>
    <s v="https://sigma.octopart.com/10047968/image/ON-Semiconductor-LM358N.jpg_x000a_"/>
    <x v="2"/>
    <x v="20"/>
    <x v="8"/>
    <x v="0"/>
    <x v="20"/>
    <x v="0"/>
    <x v="51"/>
    <x v="1"/>
    <x v="1"/>
    <x v="0"/>
  </r>
  <r>
    <n v="180"/>
    <x v="52"/>
    <d v="2022-03-21T13:16:04"/>
    <x v="0"/>
    <x v="0"/>
    <n v="0.86"/>
    <s v="https://canada.newark.com/productimages/standard/en_US/4979272.jpg_x000a_"/>
    <x v="2"/>
    <x v="21"/>
    <x v="8"/>
    <x v="0"/>
    <x v="28"/>
    <x v="0"/>
    <x v="52"/>
    <x v="1"/>
    <x v="2"/>
    <x v="0"/>
  </r>
  <r>
    <n v="181"/>
    <x v="53"/>
    <d v="2022-03-21T13:20:11"/>
    <x v="0"/>
    <x v="0"/>
    <n v="0.86"/>
    <s v="https://canada.newark.com/productimages/standard/en_US/5092597.jpg_x000a_"/>
    <x v="2"/>
    <x v="22"/>
    <x v="8"/>
    <x v="0"/>
    <x v="28"/>
    <x v="0"/>
    <x v="53"/>
    <x v="1"/>
    <x v="2"/>
    <x v="0"/>
  </r>
  <r>
    <n v="182"/>
    <x v="54"/>
    <d v="2022-03-21T15:23:54"/>
    <x v="0"/>
    <x v="0"/>
    <n v="0.86"/>
    <s v="https://canada.newark.com/productimages/standard/en_US/85R2851-40.jpg_x000a_"/>
    <x v="2"/>
    <x v="23"/>
    <x v="8"/>
    <x v="0"/>
    <x v="28"/>
    <x v="0"/>
    <x v="54"/>
    <x v="1"/>
    <x v="3"/>
    <x v="0"/>
  </r>
  <r>
    <n v="191"/>
    <x v="55"/>
    <d v="2022-05-26T15:19:19"/>
    <x v="0"/>
    <x v="0"/>
    <m/>
    <m/>
    <x v="5"/>
    <x v="9"/>
    <x v="8"/>
    <x v="0"/>
    <x v="29"/>
    <x v="0"/>
    <x v="55"/>
    <x v="0"/>
    <x v="4"/>
    <x v="0"/>
  </r>
  <r>
    <n v="194"/>
    <x v="56"/>
    <d v="2022-07-14T11:30:10"/>
    <x v="0"/>
    <x v="0"/>
    <n v="0.86"/>
    <s v="https://canada.newark.com/productimages/standard/en_US/34M6427-40.jpg_x000a_"/>
    <x v="5"/>
    <x v="24"/>
    <x v="8"/>
    <x v="0"/>
    <x v="28"/>
    <x v="0"/>
    <x v="56"/>
    <x v="0"/>
    <x v="5"/>
    <x v="0"/>
  </r>
  <r>
    <n v="195"/>
    <x v="57"/>
    <d v="2022-09-01T13:00:08"/>
    <x v="0"/>
    <x v="0"/>
    <n v="0.19"/>
    <s v="https://m.media-amazon.com/images/I/51OXMquXZfL._AC_SL1053_.jpg_x000a_"/>
    <x v="2"/>
    <x v="25"/>
    <x v="8"/>
    <x v="0"/>
    <x v="9"/>
    <x v="0"/>
    <x v="57"/>
    <x v="0"/>
    <x v="6"/>
    <x v="0"/>
  </r>
  <r>
    <n v="199"/>
    <x v="58"/>
    <d v="2022-09-27T15:59:22"/>
    <x v="0"/>
    <x v="0"/>
    <n v="0"/>
    <s v="https://media.digikey.com/Photos/Honeywell%20Photos/TBPDANxxxxPGUCV.JPG_x000a_"/>
    <x v="6"/>
    <x v="26"/>
    <x v="8"/>
    <x v="0"/>
    <x v="29"/>
    <x v="0"/>
    <x v="58"/>
    <x v="0"/>
    <x v="7"/>
    <x v="1"/>
  </r>
  <r>
    <n v="200"/>
    <x v="59"/>
    <d v="2022-09-27T17:06:59"/>
    <x v="0"/>
    <x v="0"/>
    <m/>
    <s v="https://www.mouser.ca/images/seeedstudios/images/101020614_t.jpg_x000a_"/>
    <x v="6"/>
    <x v="27"/>
    <x v="8"/>
    <x v="0"/>
    <x v="29"/>
    <x v="0"/>
    <x v="59"/>
    <x v="0"/>
    <x v="8"/>
    <x v="1"/>
  </r>
  <r>
    <n v="201"/>
    <x v="60"/>
    <d v="2022-09-27T17:09:21"/>
    <x v="0"/>
    <x v="0"/>
    <m/>
    <s v="https://cdn-learn.adafruit.com/guides/cropped_images/000/001/275/medium640/thumb.jpg?1515090010_x000a_"/>
    <x v="6"/>
    <x v="28"/>
    <x v="8"/>
    <x v="0"/>
    <x v="29"/>
    <x v="0"/>
    <x v="60"/>
    <x v="0"/>
    <x v="9"/>
    <x v="1"/>
  </r>
  <r>
    <n v="202"/>
    <x v="61"/>
    <d v="2022-09-27T17:15:37"/>
    <x v="0"/>
    <x v="0"/>
    <m/>
    <s v="https://cdn-shop.adafruit.com/970x728/3100-01.jpg_x000a_"/>
    <x v="6"/>
    <x v="29"/>
    <x v="8"/>
    <x v="0"/>
    <x v="29"/>
    <x v="0"/>
    <x v="61"/>
    <x v="0"/>
    <x v="8"/>
    <x v="1"/>
  </r>
  <r>
    <n v="203"/>
    <x v="62"/>
    <d v="2022-09-27T17:20:01"/>
    <x v="0"/>
    <x v="0"/>
    <m/>
    <s v="https://m.media-amazon.com/images/I/61UxXkn1oAL._AC_SX425_.jpg_x000a_"/>
    <x v="6"/>
    <x v="9"/>
    <x v="8"/>
    <x v="0"/>
    <x v="29"/>
    <x v="0"/>
    <x v="62"/>
    <x v="0"/>
    <x v="9"/>
    <x v="1"/>
  </r>
  <r>
    <n v="204"/>
    <x v="63"/>
    <d v="2022-09-27T17:24:02"/>
    <x v="0"/>
    <x v="0"/>
    <m/>
    <s v="https://images.prismic.io/rpf-products/581d414e-e8b2-42c4-850a-54655f388bb6_3A%2B%20Angle%20REFRESH.jpg?ixlib=gatsbyFP&amp;auto=compress%2Cformat&amp;fit=max&amp;w=600&amp;h=400_x000a_"/>
    <x v="6"/>
    <x v="9"/>
    <x v="8"/>
    <x v="0"/>
    <x v="29"/>
    <x v="0"/>
    <x v="63"/>
    <x v="0"/>
    <x v="8"/>
    <x v="1"/>
  </r>
  <r>
    <n v="205"/>
    <x v="64"/>
    <d v="2022-09-27T17:25:03"/>
    <x v="0"/>
    <x v="0"/>
    <m/>
    <m/>
    <x v="6"/>
    <x v="9"/>
    <x v="8"/>
    <x v="0"/>
    <x v="29"/>
    <x v="0"/>
    <x v="64"/>
    <x v="0"/>
    <x v="8"/>
    <x v="1"/>
  </r>
  <r>
    <n v="206"/>
    <x v="65"/>
    <d v="2022-09-27T17:30:26"/>
    <x v="0"/>
    <x v="0"/>
    <m/>
    <s v="https://m.media-amazon.com/images/I/61QBrlSr-4L._AC_SX425_.jpg_x000a_"/>
    <x v="6"/>
    <x v="9"/>
    <x v="8"/>
    <x v="0"/>
    <x v="29"/>
    <x v="0"/>
    <x v="65"/>
    <x v="0"/>
    <x v="8"/>
    <x v="1"/>
  </r>
  <r>
    <n v="1"/>
    <x v="66"/>
    <d v="2021-08-24T10:29:57"/>
    <x v="0"/>
    <x v="0"/>
    <n v="21.6"/>
    <s v="https://canada.newark.com/productimages/standard/en_US/25AC5054-40.jpg_x000a_"/>
    <x v="1"/>
    <x v="9"/>
    <x v="1"/>
    <x v="0"/>
    <x v="30"/>
    <x v="1"/>
    <x v="66"/>
    <x v="1"/>
    <x v="0"/>
    <x v="0"/>
  </r>
  <r>
    <n v="2"/>
    <x v="67"/>
    <d v="2021-08-24T10:33:32"/>
    <x v="0"/>
    <x v="0"/>
    <n v="2.21"/>
    <s v="https://www.mouser.ca/images/eagleplasticdevices/images/12BH382DGR_t.jpg_x000a_"/>
    <x v="1"/>
    <x v="30"/>
    <x v="15"/>
    <x v="0"/>
    <x v="31"/>
    <x v="1"/>
    <x v="67"/>
    <x v="0"/>
    <x v="0"/>
    <x v="0"/>
  </r>
  <r>
    <n v="3"/>
    <x v="68"/>
    <d v="2021-08-24T10:43:05"/>
    <x v="0"/>
    <x v="0"/>
    <n v="3.93"/>
    <s v="https://media.digikey.com/Photos/Keystone%20Elect%20Photos/MFG_2478CN.jpg_x000a_"/>
    <x v="1"/>
    <x v="31"/>
    <x v="15"/>
    <x v="0"/>
    <x v="32"/>
    <x v="1"/>
    <x v="68"/>
    <x v="0"/>
    <x v="0"/>
    <x v="0"/>
  </r>
  <r>
    <n v="4"/>
    <x v="69"/>
    <d v="2021-08-24T10:51:17"/>
    <x v="0"/>
    <x v="0"/>
    <n v="5.94"/>
    <s v="https://canada.newark.com/productimages/standard/en_US/88W3961-40.jpg_x000a_"/>
    <x v="0"/>
    <x v="32"/>
    <x v="2"/>
    <x v="0"/>
    <x v="33"/>
    <x v="1"/>
    <x v="69"/>
    <x v="0"/>
    <x v="0"/>
    <x v="0"/>
  </r>
  <r>
    <n v="5"/>
    <x v="70"/>
    <d v="2021-08-24T10:53:41"/>
    <x v="0"/>
    <x v="0"/>
    <n v="10.44"/>
    <s v="https://media.digikey.com/Photos/BUD%20Industries%20Photos/BB-32656.jpg_x000a_"/>
    <x v="0"/>
    <x v="33"/>
    <x v="1"/>
    <x v="0"/>
    <x v="34"/>
    <x v="1"/>
    <x v="70"/>
    <x v="0"/>
    <x v="0"/>
    <x v="0"/>
  </r>
  <r>
    <n v="8"/>
    <x v="71"/>
    <d v="2021-08-24T11:02:24"/>
    <x v="0"/>
    <x v="0"/>
    <n v="2.33"/>
    <s v="https://cdn11.bigcommerce.com/s-am5zt8xfow/images/stencil/1280x1280/products/1635/7271/CS-PID-41__64183.1616092648.jpg?c=2_x000a_"/>
    <x v="0"/>
    <x v="9"/>
    <x v="12"/>
    <x v="0"/>
    <x v="35"/>
    <x v="1"/>
    <x v="71"/>
    <x v="0"/>
    <x v="0"/>
    <x v="0"/>
  </r>
  <r>
    <n v="14"/>
    <x v="72"/>
    <d v="2021-08-24T11:18:07"/>
    <x v="0"/>
    <x v="0"/>
    <n v="2.4900000000000002"/>
    <s v="https://canada.newark.com/productimages/standard/en_US/4765635.jpg_x000a_"/>
    <x v="2"/>
    <x v="34"/>
    <x v="16"/>
    <x v="0"/>
    <x v="36"/>
    <x v="1"/>
    <x v="72"/>
    <x v="0"/>
    <x v="0"/>
    <x v="0"/>
  </r>
  <r>
    <n v="17"/>
    <x v="73"/>
    <d v="2021-08-24T11:32:27"/>
    <x v="0"/>
    <x v="0"/>
    <n v="1.86"/>
    <s v="https://canada.newark.com/productimages/standard/en_US/33AC0092-40.jpg_x000a_"/>
    <x v="2"/>
    <x v="35"/>
    <x v="17"/>
    <x v="0"/>
    <x v="37"/>
    <x v="1"/>
    <x v="73"/>
    <x v="0"/>
    <x v="0"/>
    <x v="0"/>
  </r>
  <r>
    <n v="19"/>
    <x v="74"/>
    <d v="2021-08-24T11:36:27"/>
    <x v="0"/>
    <x v="0"/>
    <n v="5.0599999999999996"/>
    <s v="https://www.mouser.ca/images/sparkfun/images/bob-12009_SPL.jpg_x000a_"/>
    <x v="2"/>
    <x v="36"/>
    <x v="18"/>
    <x v="0"/>
    <x v="38"/>
    <x v="1"/>
    <x v="74"/>
    <x v="0"/>
    <x v="0"/>
    <x v="0"/>
  </r>
  <r>
    <n v="22"/>
    <x v="75"/>
    <d v="2021-08-24T11:44:35"/>
    <x v="0"/>
    <x v="0"/>
    <n v="6.68"/>
    <s v="https://www.canakit.com/Media/400/2661.jpg_x000a_"/>
    <x v="7"/>
    <x v="37"/>
    <x v="12"/>
    <x v="0"/>
    <x v="39"/>
    <x v="1"/>
    <x v="75"/>
    <x v="0"/>
    <x v="0"/>
    <x v="0"/>
  </r>
  <r>
    <n v="23"/>
    <x v="76"/>
    <d v="2021-08-24T11:47:44"/>
    <x v="0"/>
    <x v="0"/>
    <n v="66.040000000000006"/>
    <s v="https://www.mouser.ca/images/arduino/images/A000067_t.jpg_x000a_"/>
    <x v="7"/>
    <x v="38"/>
    <x v="0"/>
    <x v="0"/>
    <x v="40"/>
    <x v="1"/>
    <x v="76"/>
    <x v="0"/>
    <x v="0"/>
    <x v="0"/>
  </r>
  <r>
    <n v="24"/>
    <x v="77"/>
    <d v="2021-08-24T11:49:00"/>
    <x v="0"/>
    <x v="0"/>
    <n v="48.65"/>
    <s v="https://www.mouser.ca/images/arduino/images/ABX00052_DSL.jpg_x000a_"/>
    <x v="7"/>
    <x v="39"/>
    <x v="1"/>
    <x v="0"/>
    <x v="41"/>
    <x v="1"/>
    <x v="77"/>
    <x v="0"/>
    <x v="0"/>
    <x v="0"/>
  </r>
  <r>
    <n v="25"/>
    <x v="78"/>
    <d v="2021-08-24T11:51:00"/>
    <x v="0"/>
    <x v="0"/>
    <n v="7.23"/>
    <s v="https://media.digikey.com/Photos/Adafruit%20Industries%20LLC/MFG_4007-00.jpg_x000a_"/>
    <x v="3"/>
    <x v="40"/>
    <x v="15"/>
    <x v="0"/>
    <x v="42"/>
    <x v="1"/>
    <x v="78"/>
    <x v="0"/>
    <x v="0"/>
    <x v="0"/>
  </r>
  <r>
    <n v="26"/>
    <x v="79"/>
    <d v="2021-08-24T11:52:33"/>
    <x v="0"/>
    <x v="0"/>
    <n v="12.39"/>
    <s v="https://media.digikey.com/Photos/Sharp%20Photos/GP2Y0A41SK0F.JPG_x000a_"/>
    <x v="3"/>
    <x v="41"/>
    <x v="15"/>
    <x v="0"/>
    <x v="43"/>
    <x v="1"/>
    <x v="79"/>
    <x v="0"/>
    <x v="0"/>
    <x v="0"/>
  </r>
  <r>
    <n v="27"/>
    <x v="80"/>
    <d v="2021-08-24T11:53:57"/>
    <x v="0"/>
    <x v="0"/>
    <n v="16.670000000000002"/>
    <s v="https://media.digikey.com/Photos/Seeed%20Technology%20Ltd/MFG_114990100.jpg_x000a_"/>
    <x v="3"/>
    <x v="42"/>
    <x v="19"/>
    <x v="0"/>
    <x v="44"/>
    <x v="1"/>
    <x v="80"/>
    <x v="0"/>
    <x v="0"/>
    <x v="0"/>
  </r>
  <r>
    <n v="28"/>
    <x v="61"/>
    <d v="2021-08-24T11:56:10"/>
    <x v="0"/>
    <x v="0"/>
    <n v="45.59"/>
    <s v="https://media.digikey.com/Photos/Raspberry%20Pi/MFG_913-2673.JPG_x000a_"/>
    <x v="3"/>
    <x v="43"/>
    <x v="0"/>
    <x v="0"/>
    <x v="45"/>
    <x v="1"/>
    <x v="81"/>
    <x v="0"/>
    <x v="0"/>
    <x v="0"/>
  </r>
  <r>
    <n v="29"/>
    <x v="81"/>
    <d v="2021-08-24T11:57:39"/>
    <x v="0"/>
    <x v="0"/>
    <n v="58.5"/>
    <s v="https://media.digikey.com/Photos/Honeywell%20Photos/MFG_SSCDAN%20Series,,%208-DIP%20Module%20Series.jpg_x000a_"/>
    <x v="3"/>
    <x v="44"/>
    <x v="20"/>
    <x v="0"/>
    <x v="46"/>
    <x v="1"/>
    <x v="82"/>
    <x v="0"/>
    <x v="0"/>
    <x v="0"/>
  </r>
  <r>
    <n v="30"/>
    <x v="82"/>
    <d v="2021-08-24T11:59:23"/>
    <x v="0"/>
    <x v="0"/>
    <n v="8.23"/>
    <s v="https://www.mouser.ca/images/dfrobot/images/SEN0114_SPL.jpg_x000a_"/>
    <x v="3"/>
    <x v="45"/>
    <x v="17"/>
    <x v="0"/>
    <x v="47"/>
    <x v="1"/>
    <x v="83"/>
    <x v="0"/>
    <x v="0"/>
    <x v="0"/>
  </r>
  <r>
    <n v="32"/>
    <x v="83"/>
    <d v="2021-08-24T12:02:22"/>
    <x v="0"/>
    <x v="0"/>
    <n v="17.07"/>
    <s v="https://www.mouser.ca/images/adafruit/images/385_spl.jpg_x000a_"/>
    <x v="3"/>
    <x v="46"/>
    <x v="17"/>
    <x v="0"/>
    <x v="48"/>
    <x v="1"/>
    <x v="84"/>
    <x v="0"/>
    <x v="0"/>
    <x v="0"/>
  </r>
  <r>
    <n v="33"/>
    <x v="84"/>
    <d v="2021-08-24T12:03:58"/>
    <x v="0"/>
    <x v="0"/>
    <n v="9.77"/>
    <s v="https://canada.newark.com/productimages/standard/en_GB/3408748-40.jpg_x000a_"/>
    <x v="3"/>
    <x v="47"/>
    <x v="17"/>
    <x v="0"/>
    <x v="49"/>
    <x v="1"/>
    <x v="85"/>
    <x v="0"/>
    <x v="0"/>
    <x v="1"/>
  </r>
  <r>
    <n v="34"/>
    <x v="85"/>
    <d v="2021-08-24T12:05:37"/>
    <x v="0"/>
    <x v="0"/>
    <n v="1.63"/>
    <s v="https://canada.newark.com/productimages/standard/en_US/5300348.jpg_x000a_"/>
    <x v="3"/>
    <x v="48"/>
    <x v="2"/>
    <x v="0"/>
    <x v="50"/>
    <x v="1"/>
    <x v="86"/>
    <x v="0"/>
    <x v="0"/>
    <x v="0"/>
  </r>
  <r>
    <n v="35"/>
    <x v="86"/>
    <d v="2021-08-24T12:07:18"/>
    <x v="0"/>
    <x v="0"/>
    <n v="34.22"/>
    <s v="https://www.mouser.ca/images/adafruit/images/4411_SPL.jpg_x000a_"/>
    <x v="4"/>
    <x v="49"/>
    <x v="0"/>
    <x v="0"/>
    <x v="51"/>
    <x v="1"/>
    <x v="87"/>
    <x v="0"/>
    <x v="0"/>
    <x v="0"/>
  </r>
  <r>
    <n v="36"/>
    <x v="87"/>
    <d v="2021-08-24T12:08:48"/>
    <x v="0"/>
    <x v="0"/>
    <n v="66.36"/>
    <s v="https://www.mouser.ca/images/sparkfun/images/rob-13656_SPL.jpg_x000a_"/>
    <x v="4"/>
    <x v="50"/>
    <x v="0"/>
    <x v="0"/>
    <x v="52"/>
    <x v="1"/>
    <x v="88"/>
    <x v="0"/>
    <x v="0"/>
    <x v="0"/>
  </r>
  <r>
    <n v="37"/>
    <x v="88"/>
    <d v="2021-08-24T12:11:29"/>
    <x v="0"/>
    <x v="0"/>
    <n v="30.02"/>
    <s v="https://www.mouser.ca/images/adafruit/images/2479_spl.jpg_x000a_"/>
    <x v="8"/>
    <x v="51"/>
    <x v="19"/>
    <x v="0"/>
    <x v="53"/>
    <x v="1"/>
    <x v="89"/>
    <x v="0"/>
    <x v="0"/>
    <x v="0"/>
  </r>
  <r>
    <n v="38"/>
    <x v="89"/>
    <d v="2021-08-24T12:13:26"/>
    <x v="0"/>
    <x v="0"/>
    <n v="8.44"/>
    <s v="https://www.mouser.ca/images/linxtechnologies/images/ANT-W63RPC1-series_DSL.JPG_x000a_"/>
    <x v="8"/>
    <x v="52"/>
    <x v="17"/>
    <x v="0"/>
    <x v="54"/>
    <x v="1"/>
    <x v="90"/>
    <x v="0"/>
    <x v="0"/>
    <x v="1"/>
  </r>
  <r>
    <n v="39"/>
    <x v="90"/>
    <d v="2021-08-24T12:25:38"/>
    <x v="0"/>
    <x v="0"/>
    <n v="3.48"/>
    <s v="https://media.digikey.com/Photos/Seeed%20Technology%20Ltd/MFG_321010008.jpg_x000a_"/>
    <x v="0"/>
    <x v="9"/>
    <x v="21"/>
    <x v="0"/>
    <x v="55"/>
    <x v="1"/>
    <x v="91"/>
    <x v="0"/>
    <x v="0"/>
    <x v="0"/>
  </r>
  <r>
    <n v="46"/>
    <x v="91"/>
    <d v="2021-09-22T11:48:52"/>
    <x v="0"/>
    <x v="0"/>
    <n v="6.87"/>
    <s v="https://abra-electronics.com/images/detailed/85/372-ADA__91861.jpg_x000a_"/>
    <x v="3"/>
    <x v="53"/>
    <x v="22"/>
    <x v="0"/>
    <x v="56"/>
    <x v="1"/>
    <x v="92"/>
    <x v="0"/>
    <x v="0"/>
    <x v="0"/>
  </r>
  <r>
    <n v="47"/>
    <x v="92"/>
    <d v="2021-09-22T11:53:59"/>
    <x v="0"/>
    <x v="0"/>
    <n v="3.31"/>
    <s v="https://media.digikey.com/Photos/Adafruit%20Industries%20LLC/MFG_4667.jpg_x000a_"/>
    <x v="3"/>
    <x v="54"/>
    <x v="23"/>
    <x v="0"/>
    <x v="57"/>
    <x v="1"/>
    <x v="93"/>
    <x v="0"/>
    <x v="0"/>
    <x v="0"/>
  </r>
  <r>
    <n v="48"/>
    <x v="93"/>
    <d v="2021-09-22T12:02:49"/>
    <x v="0"/>
    <x v="0"/>
    <n v="17.98"/>
    <s v="https://www.ato.com/content/images/thumbs/0002448_nema-17-bipolar-stepper-motor-28v-168a-2-phase-4-wires_550.jpeg_x000a_"/>
    <x v="4"/>
    <x v="55"/>
    <x v="1"/>
    <x v="0"/>
    <x v="58"/>
    <x v="1"/>
    <x v="94"/>
    <x v="0"/>
    <x v="0"/>
    <x v="0"/>
  </r>
  <r>
    <n v="49"/>
    <x v="94"/>
    <d v="2021-09-22T13:54:42"/>
    <x v="0"/>
    <x v="0"/>
    <n v="30.91"/>
    <s v="https://www.robotshop.com/media/files/images2/6v-dc-motor-65kg-cm-100rpm-encoder-descimage.jpg_x000a_"/>
    <x v="4"/>
    <x v="56"/>
    <x v="2"/>
    <x v="0"/>
    <x v="59"/>
    <x v="1"/>
    <x v="95"/>
    <x v="0"/>
    <x v="0"/>
    <x v="0"/>
  </r>
  <r>
    <n v="50"/>
    <x v="95"/>
    <d v="2021-09-22T13:59:58"/>
    <x v="0"/>
    <x v="0"/>
    <n v="20.420000000000002"/>
    <s v="https://dfimg.dfrobot.com/store/data/FIT0485/FIT0485.jpg?imageView2/1/w/564/h/376_x000a_"/>
    <x v="4"/>
    <x v="57"/>
    <x v="0"/>
    <x v="0"/>
    <x v="60"/>
    <x v="1"/>
    <x v="96"/>
    <x v="0"/>
    <x v="0"/>
    <x v="0"/>
  </r>
  <r>
    <n v="51"/>
    <x v="96"/>
    <d v="2021-09-22T14:02:46"/>
    <x v="0"/>
    <x v="0"/>
    <n v="3.18"/>
    <s v="https://cdn.shopify.com/s/files/1/0915/1182/products/MhiOZTxSVaM1i4WcEZVS_MD-L298N-800x800_2048x.jpg?v=1596141889_x000a_"/>
    <x v="4"/>
    <x v="58"/>
    <x v="1"/>
    <x v="0"/>
    <x v="61"/>
    <x v="1"/>
    <x v="97"/>
    <x v="0"/>
    <x v="0"/>
    <x v="0"/>
  </r>
  <r>
    <n v="52"/>
    <x v="97"/>
    <d v="2021-09-23T15:31:02"/>
    <x v="0"/>
    <x v="0"/>
    <n v="33.39"/>
    <s v="https://www.robotshop.com/media/catalog/product/cache/image/1350x/9df78eab33525d08d6e5fb8d27136e95/a/r/arduino-uno-r3-usb-microcontroller-6.png_x000a_"/>
    <x v="7"/>
    <x v="59"/>
    <x v="15"/>
    <x v="0"/>
    <x v="62"/>
    <x v="1"/>
    <x v="98"/>
    <x v="0"/>
    <x v="0"/>
    <x v="0"/>
  </r>
  <r>
    <n v="53"/>
    <x v="98"/>
    <d v="2021-09-23T15:34:09"/>
    <x v="0"/>
    <x v="0"/>
    <n v="0.22"/>
    <s v="https://media.digikey.com/photos/Omron%20Elect%20Photos/B3F-1020.jpg_x000a_"/>
    <x v="2"/>
    <x v="60"/>
    <x v="24"/>
    <x v="0"/>
    <x v="63"/>
    <x v="1"/>
    <x v="99"/>
    <x v="0"/>
    <x v="0"/>
    <x v="0"/>
  </r>
  <r>
    <n v="54"/>
    <x v="99"/>
    <d v="2021-09-23T16:00:17"/>
    <x v="0"/>
    <x v="0"/>
    <n v="20.420000000000002"/>
    <s v="https://abra-electronics.com/images/detailed/152/JGA25-370-6V100-E_1ius-t6_prnl-67_gnh1-cc_jrqc-jc_ai2g-ck_asae-up_12yl-bp_rzxu-vo_vcwf-9s_h4tq-7v_usye-8e_usb7-xl_vkvy-1j_cc49-3p_7ir0-cp_ux0l-kb.jpg_x000a_"/>
    <x v="4"/>
    <x v="9"/>
    <x v="2"/>
    <x v="0"/>
    <x v="60"/>
    <x v="1"/>
    <x v="100"/>
    <x v="0"/>
    <x v="0"/>
    <x v="0"/>
  </r>
  <r>
    <n v="55"/>
    <x v="100"/>
    <d v="2021-09-23T16:02:32"/>
    <x v="0"/>
    <x v="0"/>
    <n v="14.83"/>
    <s v="https://imgaz3.staticbg.com/thumb/large/oaupload/banggood/images/F8/91/b18cf8e6-eece-434c-b4a5-dcac38fe26af.jpg_x000a_"/>
    <x v="4"/>
    <x v="61"/>
    <x v="2"/>
    <x v="0"/>
    <x v="64"/>
    <x v="1"/>
    <x v="101"/>
    <x v="0"/>
    <x v="0"/>
    <x v="0"/>
  </r>
  <r>
    <n v="63"/>
    <x v="101"/>
    <d v="2021-10-08T11:46:11"/>
    <x v="0"/>
    <x v="0"/>
    <n v="1.63"/>
    <s v="https://www.mouser.ca/images/sparkfun/lrg/prt-10811_SPL.jpg_x000a_DC Barrel Jack Adapter - Breadboard Compatible"/>
    <x v="0"/>
    <x v="62"/>
    <x v="1"/>
    <x v="0"/>
    <x v="50"/>
    <x v="1"/>
    <x v="102"/>
    <x v="0"/>
    <x v="0"/>
    <x v="0"/>
  </r>
  <r>
    <n v="64"/>
    <x v="102"/>
    <d v="2021-10-08T11:48:58"/>
    <x v="0"/>
    <x v="0"/>
    <n v="5.9"/>
    <s v="https://www.mouser.ca/images/gravitech/lrg/BB-TERM3.jpg_x000a_3-Position Terminal Block Breakout"/>
    <x v="0"/>
    <x v="63"/>
    <x v="25"/>
    <x v="0"/>
    <x v="4"/>
    <x v="1"/>
    <x v="103"/>
    <x v="0"/>
    <x v="0"/>
    <x v="0"/>
  </r>
  <r>
    <n v="66"/>
    <x v="103"/>
    <d v="2021-10-28T11:46:45"/>
    <x v="0"/>
    <x v="0"/>
    <n v="99"/>
    <m/>
    <x v="9"/>
    <x v="9"/>
    <x v="26"/>
    <x v="0"/>
    <x v="65"/>
    <x v="1"/>
    <x v="104"/>
    <x v="0"/>
    <x v="0"/>
    <x v="0"/>
  </r>
  <r>
    <n v="67"/>
    <x v="104"/>
    <d v="2021-11-01T13:13:29"/>
    <x v="0"/>
    <x v="0"/>
    <n v="2.8"/>
    <s v="https://media.digikey.com/Photos/CIT%20Relay%20and%20Switch/MFG_ANT23SECQE.jpg_x000a_"/>
    <x v="2"/>
    <x v="64"/>
    <x v="27"/>
    <x v="0"/>
    <x v="66"/>
    <x v="1"/>
    <x v="105"/>
    <x v="0"/>
    <x v="0"/>
    <x v="0"/>
  </r>
  <r>
    <n v="68"/>
    <x v="105"/>
    <d v="2021-11-02T16:42:26"/>
    <x v="0"/>
    <x v="0"/>
    <n v="1"/>
    <s v="https://media.digikey.com/Photos/Wurth%20Electronics%20Photos/971500324.jpg_x000a_"/>
    <x v="10"/>
    <x v="65"/>
    <x v="8"/>
    <x v="0"/>
    <x v="8"/>
    <x v="1"/>
    <x v="106"/>
    <x v="0"/>
    <x v="0"/>
    <x v="0"/>
  </r>
  <r>
    <n v="69"/>
    <x v="106"/>
    <d v="2021-11-03T19:57:48"/>
    <x v="0"/>
    <x v="0"/>
    <n v="0.55000000000000004"/>
    <s v="https://media.digikey.com/Photos/Wurth%20Electronics%20Photos/971250244.jpg_x000a_"/>
    <x v="10"/>
    <x v="66"/>
    <x v="8"/>
    <x v="0"/>
    <x v="67"/>
    <x v="1"/>
    <x v="107"/>
    <x v="0"/>
    <x v="0"/>
    <x v="0"/>
  </r>
  <r>
    <n v="70"/>
    <x v="107"/>
    <d v="2021-11-03T20:29:34"/>
    <x v="0"/>
    <x v="0"/>
    <n v="0.62"/>
    <s v="https://media.digikey.com/photos/Keystone%20Elect%20Photos/24437.JPG_x000a_"/>
    <x v="10"/>
    <x v="67"/>
    <x v="8"/>
    <x v="0"/>
    <x v="68"/>
    <x v="1"/>
    <x v="108"/>
    <x v="0"/>
    <x v="0"/>
    <x v="0"/>
  </r>
  <r>
    <n v="71"/>
    <x v="108"/>
    <d v="2021-11-03T20:43:48"/>
    <x v="0"/>
    <x v="0"/>
    <n v="0.32"/>
    <s v="https://media.digikey.com/Photos/Wurth%20Electronics%20Photos/971100354.JPG_x000a_"/>
    <x v="10"/>
    <x v="68"/>
    <x v="8"/>
    <x v="0"/>
    <x v="69"/>
    <x v="1"/>
    <x v="109"/>
    <x v="0"/>
    <x v="0"/>
    <x v="0"/>
  </r>
  <r>
    <n v="72"/>
    <x v="109"/>
    <d v="2021-11-03T22:30:01"/>
    <x v="0"/>
    <x v="0"/>
    <n v="0.33"/>
    <s v="https://media.digikey.com/Photos/Wurth%20Electronics%20Photos/971080324.JPG_x000a_"/>
    <x v="10"/>
    <x v="68"/>
    <x v="8"/>
    <x v="0"/>
    <x v="70"/>
    <x v="1"/>
    <x v="110"/>
    <x v="0"/>
    <x v="0"/>
    <x v="0"/>
  </r>
  <r>
    <n v="74"/>
    <x v="110"/>
    <d v="2021-11-04T14:47:04"/>
    <x v="0"/>
    <x v="0"/>
    <n v="0.7"/>
    <s v="https://www.mouser.ca/images/vishay/images/do204ac.jpg_x000a_"/>
    <x v="2"/>
    <x v="69"/>
    <x v="9"/>
    <x v="0"/>
    <x v="71"/>
    <x v="1"/>
    <x v="111"/>
    <x v="0"/>
    <x v="0"/>
    <x v="0"/>
  </r>
  <r>
    <n v="76"/>
    <x v="111"/>
    <d v="2021-11-04T17:55:48"/>
    <x v="0"/>
    <x v="0"/>
    <n v="1.62"/>
    <s v="https://www.jameco.com/Jameco/Products/MakeImag/209234.jpg_x000a_"/>
    <x v="2"/>
    <x v="70"/>
    <x v="18"/>
    <x v="0"/>
    <x v="72"/>
    <x v="1"/>
    <x v="112"/>
    <x v="0"/>
    <x v="0"/>
    <x v="0"/>
  </r>
  <r>
    <n v="77"/>
    <x v="112"/>
    <d v="2021-11-04T18:05:34"/>
    <x v="0"/>
    <x v="0"/>
    <n v="0.12"/>
    <s v="https://m.media-amazon.com/images/I/31vWVRnV1kL._SX342_.jpg_x000a_"/>
    <x v="2"/>
    <x v="71"/>
    <x v="8"/>
    <x v="0"/>
    <x v="73"/>
    <x v="1"/>
    <x v="113"/>
    <x v="0"/>
    <x v="0"/>
    <x v="0"/>
  </r>
  <r>
    <n v="90"/>
    <x v="113"/>
    <d v="2021-11-06T11:54:21"/>
    <x v="0"/>
    <x v="0"/>
    <n v="0.45"/>
    <s v="https://ae01.alicdn.com/kf/HTB1lP_VGFXXXXajXVXXq6xXFXXXz/122158055/HTB1lP_VGFXXXXajXVXXq6xXFXXXz.jpg_x000a_"/>
    <x v="0"/>
    <x v="9"/>
    <x v="8"/>
    <x v="0"/>
    <x v="74"/>
    <x v="1"/>
    <x v="114"/>
    <x v="0"/>
    <x v="0"/>
    <x v="0"/>
  </r>
  <r>
    <n v="91"/>
    <x v="114"/>
    <d v="2021-11-06T11:56:45"/>
    <x v="0"/>
    <x v="0"/>
    <n v="0.83"/>
    <s v="https://ae01.alicdn.com/kf/HTB1dCH5MXXXXXbYXFXXq6xXFXXXG/10Ssets-Micro-JST-1-25-6-Pin-Male-Female-Connector-plug-150mm-Wires-Cables.jpg_x000a_"/>
    <x v="0"/>
    <x v="9"/>
    <x v="8"/>
    <x v="0"/>
    <x v="75"/>
    <x v="1"/>
    <x v="115"/>
    <x v="0"/>
    <x v="0"/>
    <x v="0"/>
  </r>
  <r>
    <n v="92"/>
    <x v="115"/>
    <d v="2021-11-06T11:59:32"/>
    <x v="0"/>
    <x v="0"/>
    <n v="0.8"/>
    <s v="https://www.diyelectronics.co.za/store/6841-thickbox_default/dupont-cable-ff-70cm-4pin.jpg_x000a_"/>
    <x v="0"/>
    <x v="9"/>
    <x v="8"/>
    <x v="0"/>
    <x v="76"/>
    <x v="1"/>
    <x v="116"/>
    <x v="0"/>
    <x v="0"/>
    <x v="0"/>
  </r>
  <r>
    <n v="93"/>
    <x v="116"/>
    <d v="2021-11-06T12:00:13"/>
    <x v="0"/>
    <x v="0"/>
    <n v="0.45"/>
    <s v="https://sc04.alicdn.com/kf/HTB1UUItbhrI8KJjy0Fpq6z5hVXam.jpg_x000a_"/>
    <x v="0"/>
    <x v="9"/>
    <x v="8"/>
    <x v="0"/>
    <x v="74"/>
    <x v="1"/>
    <x v="117"/>
    <x v="0"/>
    <x v="0"/>
    <x v="0"/>
  </r>
  <r>
    <n v="96"/>
    <x v="117"/>
    <d v="2021-11-06T12:07:47"/>
    <x v="0"/>
    <x v="0"/>
    <m/>
    <s v="https://i5.walmartimages.com/asr/931f35fc-29ad-4a47-a596-d53df37a2376_1.875d61834c287161613f4b4fb496a246.jpeg?odnHeight=2000&amp;odnWidth=2000&amp;odnBg=ffffff_x000a_"/>
    <x v="0"/>
    <x v="9"/>
    <x v="8"/>
    <x v="0"/>
    <x v="29"/>
    <x v="1"/>
    <x v="118"/>
    <x v="2"/>
    <x v="0"/>
    <x v="0"/>
  </r>
  <r>
    <n v="97"/>
    <x v="118"/>
    <d v="2021-11-06T12:10:41"/>
    <x v="0"/>
    <x v="0"/>
    <n v="1.45"/>
    <s v="https://secomms.com.au/wp-content/uploads/2016/12/tp004-310x310.jpg_x000a_"/>
    <x v="0"/>
    <x v="9"/>
    <x v="8"/>
    <x v="0"/>
    <x v="77"/>
    <x v="1"/>
    <x v="119"/>
    <x v="0"/>
    <x v="0"/>
    <x v="0"/>
  </r>
  <r>
    <n v="98"/>
    <x v="119"/>
    <d v="2021-11-06T12:13:13"/>
    <x v="0"/>
    <x v="0"/>
    <n v="3.28"/>
    <s v="https://www.muellerelectric.com/images/products/533/BU-P3925-2.jpg_x000a_"/>
    <x v="0"/>
    <x v="9"/>
    <x v="8"/>
    <x v="0"/>
    <x v="78"/>
    <x v="1"/>
    <x v="120"/>
    <x v="0"/>
    <x v="0"/>
    <x v="0"/>
  </r>
  <r>
    <n v="99"/>
    <x v="120"/>
    <d v="2021-11-06T12:47:31"/>
    <x v="0"/>
    <x v="0"/>
    <n v="1.6"/>
    <s v="https://www.robotshop.com/media/catalog/product/cache/image/1350x/9df78eab33525d08d6e5fb8d27136e95/r/e/replicator-2-2x-drive-gear-set-screw_1.jpg_x000a_"/>
    <x v="11"/>
    <x v="9"/>
    <x v="8"/>
    <x v="0"/>
    <x v="79"/>
    <x v="1"/>
    <x v="121"/>
    <x v="1"/>
    <x v="0"/>
    <x v="0"/>
  </r>
  <r>
    <n v="100"/>
    <x v="121"/>
    <d v="2021-11-06T12:49:21"/>
    <x v="0"/>
    <x v="0"/>
    <n v="1.91"/>
    <s v="https://ae01.alicdn.com/kf/HTB1QPSiQpXXXXazaXXXq6xXFXXXw/111015576/HTB1QPSiQpXXXXazaXXXq6xXFXXXw.jpg_x000a_"/>
    <x v="11"/>
    <x v="9"/>
    <x v="8"/>
    <x v="0"/>
    <x v="80"/>
    <x v="1"/>
    <x v="122"/>
    <x v="1"/>
    <x v="0"/>
    <x v="0"/>
  </r>
  <r>
    <n v="101"/>
    <x v="122"/>
    <d v="2021-11-06T13:01:16"/>
    <x v="0"/>
    <x v="0"/>
    <n v="19.22"/>
    <s v="https://cdn-global-hk.hobbyking.com/media/catalog/product/cache/1/image/660x415/17f82f742ffe127f42dca9de82fb58b1/legacy/catalog/51191.jpg_x000a_"/>
    <x v="1"/>
    <x v="72"/>
    <x v="8"/>
    <x v="0"/>
    <x v="81"/>
    <x v="1"/>
    <x v="123"/>
    <x v="0"/>
    <x v="0"/>
    <x v="0"/>
  </r>
  <r>
    <n v="105"/>
    <x v="123"/>
    <d v="2021-11-07T10:33:56"/>
    <x v="0"/>
    <x v="0"/>
    <n v="3.29"/>
    <s v="https://res.cloudinary.com/webstore/image/fetch/w_450,,c_limit,,c_fit,,f_auto,,e_trim/http%3A%2F%2F103.104.149.71%2Fuk4872789G03.jpg_x000a_"/>
    <x v="2"/>
    <x v="73"/>
    <x v="8"/>
    <x v="0"/>
    <x v="82"/>
    <x v="1"/>
    <x v="124"/>
    <x v="0"/>
    <x v="0"/>
    <x v="0"/>
  </r>
  <r>
    <n v="106"/>
    <x v="124"/>
    <d v="2021-11-07T10:34:27"/>
    <x v="0"/>
    <x v="0"/>
    <n v="3.29"/>
    <s v="https://res.cloudinary.com/webstore/image/fetch/w_450,,c_limit,,c_fit,,f_auto,,e_trim/http%3A%2F%2F103.104.149.71%2Fuk4872789G03.jpg_x000a_"/>
    <x v="2"/>
    <x v="73"/>
    <x v="8"/>
    <x v="0"/>
    <x v="82"/>
    <x v="1"/>
    <x v="125"/>
    <x v="0"/>
    <x v="0"/>
    <x v="0"/>
  </r>
  <r>
    <n v="107"/>
    <x v="125"/>
    <d v="2021-11-07T10:40:25"/>
    <x v="0"/>
    <x v="0"/>
    <n v="2.65"/>
    <s v="https://i.ebayimg.com/images/g/nckAAOSwzXxaJmyQ/s-l500.jpg_x000a_"/>
    <x v="10"/>
    <x v="9"/>
    <x v="8"/>
    <x v="0"/>
    <x v="83"/>
    <x v="1"/>
    <x v="126"/>
    <x v="0"/>
    <x v="0"/>
    <x v="0"/>
  </r>
  <r>
    <n v="108"/>
    <x v="126"/>
    <d v="2021-11-07T10:52:45"/>
    <x v="0"/>
    <x v="0"/>
    <n v="2.29"/>
    <s v="https://m.media-amazon.com/images/I/61RO4oqYWyL._AC_SY450_.jpg_x000a_"/>
    <x v="9"/>
    <x v="9"/>
    <x v="8"/>
    <x v="0"/>
    <x v="84"/>
    <x v="1"/>
    <x v="127"/>
    <x v="0"/>
    <x v="0"/>
    <x v="0"/>
  </r>
  <r>
    <n v="109"/>
    <x v="127"/>
    <d v="2021-11-07T10:53:58"/>
    <x v="0"/>
    <x v="0"/>
    <n v="2.12"/>
    <s v="https://www.robotshop.com/media/catalog/product/cache/image/1350x/9df78eab33525d08d6e5fb8d27136e95/p/o/pololu-wheel-60-8mm-black-pair.jpg_x000a_"/>
    <x v="9"/>
    <x v="9"/>
    <x v="8"/>
    <x v="0"/>
    <x v="85"/>
    <x v="1"/>
    <x v="128"/>
    <x v="0"/>
    <x v="0"/>
    <x v="0"/>
  </r>
  <r>
    <n v="110"/>
    <x v="128"/>
    <d v="2021-11-07T10:54:58"/>
    <x v="0"/>
    <x v="0"/>
    <n v="71.040000000000006"/>
    <s v="https://www.robotshop.com/media/catalog/product/cache/image/1350x/9df78eab33525d08d6e5fb8d27136e95/4/-/4-mecanum-hd-wheel-set-2-left-2-right.jpg_x000a_"/>
    <x v="9"/>
    <x v="9"/>
    <x v="8"/>
    <x v="0"/>
    <x v="86"/>
    <x v="1"/>
    <x v="129"/>
    <x v="0"/>
    <x v="0"/>
    <x v="0"/>
  </r>
  <r>
    <n v="114"/>
    <x v="129"/>
    <d v="2021-11-23T14:29:10"/>
    <x v="0"/>
    <x v="0"/>
    <n v="10.62"/>
    <s v="https://www.robotshop.com/media/catalog/product/cache/image/1350x/9df78eab33525d08d6e5fb8d27136e95/p/o/pololu-8-35v-2a-single-bipolar-stepper-motor-driver-a4988-no-header-pins.jpg_x000a_"/>
    <x v="4"/>
    <x v="74"/>
    <x v="2"/>
    <x v="0"/>
    <x v="87"/>
    <x v="1"/>
    <x v="130"/>
    <x v="0"/>
    <x v="0"/>
    <x v="0"/>
  </r>
  <r>
    <n v="115"/>
    <x v="130"/>
    <d v="2021-12-06T15:09:18"/>
    <x v="0"/>
    <x v="0"/>
    <n v="11.31"/>
    <s v="https://www.robotshop.com/media/catalog/product/cache/image/1350x/9df78eab33525d08d6e5fb8d27136e95/m/i/microsd-adapter-arduino-1_1.jpg_x000a_"/>
    <x v="8"/>
    <x v="75"/>
    <x v="28"/>
    <x v="0"/>
    <x v="88"/>
    <x v="1"/>
    <x v="131"/>
    <x v="2"/>
    <x v="0"/>
    <x v="0"/>
  </r>
  <r>
    <n v="116"/>
    <x v="52"/>
    <d v="2021-12-14T15:17:46"/>
    <x v="0"/>
    <x v="0"/>
    <n v="1.03"/>
    <s v="https://media.digikey.com/Photos/Piher-Sensors/PT15NV15-105A2020.JPG_x000a_"/>
    <x v="2"/>
    <x v="76"/>
    <x v="29"/>
    <x v="0"/>
    <x v="89"/>
    <x v="1"/>
    <x v="132"/>
    <x v="0"/>
    <x v="0"/>
    <x v="0"/>
  </r>
  <r>
    <n v="117"/>
    <x v="131"/>
    <d v="2021-12-15T09:51:51"/>
    <x v="0"/>
    <x v="0"/>
    <n v="1.33"/>
    <s v="https://www.robotdigg.com/crab/image/2018/07/25/af05c6a718db8c26c5248fa69613c58c-300-300.jpeg_x000a_"/>
    <x v="4"/>
    <x v="77"/>
    <x v="15"/>
    <x v="0"/>
    <x v="90"/>
    <x v="1"/>
    <x v="133"/>
    <x v="0"/>
    <x v="0"/>
    <x v="0"/>
  </r>
  <r>
    <n v="118"/>
    <x v="132"/>
    <d v="2021-12-20T16:14:03"/>
    <x v="0"/>
    <x v="0"/>
    <n v="25.99"/>
    <s v="https://www.robotshop.com/media/catalog/product/cache/image/1350x/9df78eab33525d08d6e5fb8d27136e95/l/7/l76b-gnss-module-raspberry-pi-pico-gps-bdsqzss-support.jpg_x000a_"/>
    <x v="8"/>
    <x v="78"/>
    <x v="19"/>
    <x v="0"/>
    <x v="91"/>
    <x v="1"/>
    <x v="134"/>
    <x v="0"/>
    <x v="0"/>
    <x v="0"/>
  </r>
  <r>
    <n v="126"/>
    <x v="133"/>
    <d v="2022-01-31T15:54:37"/>
    <x v="0"/>
    <x v="0"/>
    <n v="4.57"/>
    <s v="https://media.digikey.com/Photos/DB-Unlimited/MFG_IP154012-1.jpg_x000a_"/>
    <x v="2"/>
    <x v="79"/>
    <x v="8"/>
    <x v="0"/>
    <x v="92"/>
    <x v="1"/>
    <x v="135"/>
    <x v="0"/>
    <x v="0"/>
    <x v="0"/>
  </r>
  <r>
    <n v="127"/>
    <x v="134"/>
    <d v="2022-01-31T16:44:23"/>
    <x v="0"/>
    <x v="0"/>
    <n v="8.51"/>
    <s v="https://media.digikey.com/Photos/Adafruit%20Industries%20LLC/MFG_3297.jpg_x000a_"/>
    <x v="4"/>
    <x v="80"/>
    <x v="8"/>
    <x v="0"/>
    <x v="93"/>
    <x v="1"/>
    <x v="136"/>
    <x v="0"/>
    <x v="0"/>
    <x v="0"/>
  </r>
  <r>
    <n v="129"/>
    <x v="135"/>
    <d v="2022-02-01T14:30:32"/>
    <x v="0"/>
    <x v="0"/>
    <n v="7.22"/>
    <s v="https://media.digikey.com/Photos/Pimoroni%20Photos/MFG_COM1700.jpg_x000a_"/>
    <x v="3"/>
    <x v="81"/>
    <x v="8"/>
    <x v="0"/>
    <x v="94"/>
    <x v="1"/>
    <x v="137"/>
    <x v="0"/>
    <x v="1"/>
    <x v="0"/>
  </r>
  <r>
    <n v="130"/>
    <x v="136"/>
    <d v="2022-02-17T12:34:42"/>
    <x v="0"/>
    <x v="0"/>
    <n v="7.79"/>
    <s v="https://www.active-robots.com/media/catalog/product/cache/1448d290919e75f75794773a0fb3478d/1/_/1_15.png_x000a_"/>
    <x v="12"/>
    <x v="9"/>
    <x v="8"/>
    <x v="0"/>
    <x v="95"/>
    <x v="1"/>
    <x v="138"/>
    <x v="0"/>
    <x v="10"/>
    <x v="0"/>
  </r>
  <r>
    <n v="131"/>
    <x v="137"/>
    <d v="2022-02-17T12:39:56"/>
    <x v="0"/>
    <x v="0"/>
    <n v="9.36"/>
    <s v="https://www.electrokit.com/uploads/productimage/41013/41013240.jpg_x000a_"/>
    <x v="12"/>
    <x v="82"/>
    <x v="8"/>
    <x v="0"/>
    <x v="96"/>
    <x v="1"/>
    <x v="139"/>
    <x v="0"/>
    <x v="11"/>
    <x v="0"/>
  </r>
  <r>
    <n v="132"/>
    <x v="138"/>
    <d v="2022-02-17T12:47:04"/>
    <x v="0"/>
    <x v="0"/>
    <n v="11.95"/>
    <s v="https://cdn11.bigcommerce.com/s-tnsp6i3ma6/images/stencil/original/products/5474/31197/615326__53835.1628006113.jpg?c=2_x000a_"/>
    <x v="12"/>
    <x v="83"/>
    <x v="8"/>
    <x v="0"/>
    <x v="97"/>
    <x v="1"/>
    <x v="140"/>
    <x v="0"/>
    <x v="12"/>
    <x v="0"/>
  </r>
  <r>
    <n v="133"/>
    <x v="139"/>
    <d v="2022-02-17T12:52:15"/>
    <x v="0"/>
    <x v="0"/>
    <n v="10.27"/>
    <s v="https://cdn11.bigcommerce.com/s-tnsp6i3ma6/images/stencil/original/products/2825/19981/545612__95709.1583253433.jpg?c=2_x000a_"/>
    <x v="13"/>
    <x v="84"/>
    <x v="8"/>
    <x v="0"/>
    <x v="98"/>
    <x v="1"/>
    <x v="141"/>
    <x v="0"/>
    <x v="11"/>
    <x v="0"/>
  </r>
  <r>
    <n v="134"/>
    <x v="140"/>
    <d v="2022-02-17T12:57:28"/>
    <x v="0"/>
    <x v="0"/>
    <n v="9.93"/>
    <s v="https://cdn11.bigcommerce.com/s-tnsp6i3ma6/images/stencil/800w/products/2917/22373/595738__35941.1589310121.jpg?c=2_x000a_"/>
    <x v="9"/>
    <x v="85"/>
    <x v="8"/>
    <x v="0"/>
    <x v="99"/>
    <x v="1"/>
    <x v="142"/>
    <x v="0"/>
    <x v="13"/>
    <x v="0"/>
  </r>
  <r>
    <n v="135"/>
    <x v="141"/>
    <d v="2022-02-17T14:30:53"/>
    <x v="0"/>
    <x v="0"/>
    <n v="11.62"/>
    <s v="https://cdn11.bigcommerce.com/s-tnsp6i3ma6/images/stencil/original/products/5369/31312/RHA32-36-96__47622.1628021390.jpg?c=2_x000a_"/>
    <x v="12"/>
    <x v="86"/>
    <x v="8"/>
    <x v="0"/>
    <x v="100"/>
    <x v="1"/>
    <x v="143"/>
    <x v="0"/>
    <x v="10"/>
    <x v="0"/>
  </r>
  <r>
    <n v="136"/>
    <x v="142"/>
    <d v="2022-02-17T14:42:58"/>
    <x v="0"/>
    <x v="0"/>
    <n v="7.1"/>
    <s v="https://cdn11.bigcommerce.com/s-tnsp6i3ma6/images/stencil/800w/products/7845/20018/525125__54909.1583426176.jpg?c=2_x000a_"/>
    <x v="13"/>
    <x v="87"/>
    <x v="8"/>
    <x v="0"/>
    <x v="101"/>
    <x v="1"/>
    <x v="144"/>
    <x v="0"/>
    <x v="12"/>
    <x v="0"/>
  </r>
  <r>
    <n v="137"/>
    <x v="143"/>
    <d v="2022-02-17T16:19:15"/>
    <x v="0"/>
    <x v="0"/>
    <n v="8.9700000000000006"/>
    <s v="https://cdn11.bigcommerce.com/s-tnsp6i3ma6/images/stencil/original/products/4604/22048/B375-200XL__07385.1588174813.jpg?c=2_x000a_"/>
    <x v="11"/>
    <x v="88"/>
    <x v="8"/>
    <x v="0"/>
    <x v="102"/>
    <x v="1"/>
    <x v="145"/>
    <x v="0"/>
    <x v="14"/>
    <x v="0"/>
  </r>
  <r>
    <n v="138"/>
    <x v="144"/>
    <d v="2022-02-17T16:37:51"/>
    <x v="0"/>
    <x v="0"/>
    <n v="8.43"/>
    <s v="https://cdn11.bigcommerce.com/s-tnsp6i3ma6/images/stencil/800w/products/3095/19996/545572__79763.1583360605.jpg?c=2_x000a_"/>
    <x v="13"/>
    <x v="89"/>
    <x v="8"/>
    <x v="0"/>
    <x v="103"/>
    <x v="1"/>
    <x v="146"/>
    <x v="0"/>
    <x v="1"/>
    <x v="0"/>
  </r>
  <r>
    <n v="139"/>
    <x v="145"/>
    <d v="2022-02-17T16:49:22"/>
    <x v="0"/>
    <x v="0"/>
    <n v="13.1"/>
    <s v="https://cdn11.bigcommerce.com/s-tnsp6i3ma6/images/stencil/800w/products/5689/19617/615394-Ang_2__13299.1582660836.jpg?c=2_x000a_"/>
    <x v="11"/>
    <x v="90"/>
    <x v="8"/>
    <x v="0"/>
    <x v="104"/>
    <x v="1"/>
    <x v="147"/>
    <x v="0"/>
    <x v="13"/>
    <x v="0"/>
  </r>
  <r>
    <n v="140"/>
    <x v="146"/>
    <d v="2022-02-18T09:57:49"/>
    <x v="0"/>
    <x v="0"/>
    <n v="7.38"/>
    <s v="https://cdn11.bigcommerce.com/s-tnsp6i3ma6/images/stencil/800w/products/3083/19995/545568__53457.1583360574.jpg?c=2_x000a_"/>
    <x v="13"/>
    <x v="91"/>
    <x v="8"/>
    <x v="0"/>
    <x v="105"/>
    <x v="1"/>
    <x v="148"/>
    <x v="0"/>
    <x v="1"/>
    <x v="0"/>
  </r>
  <r>
    <n v="141"/>
    <x v="147"/>
    <d v="2022-02-18T14:33:06"/>
    <x v="0"/>
    <x v="0"/>
    <n v="20.96"/>
    <s v="https://www.robotshop.com/media/catalog/product/cache/image/1350x/9df78eab33525d08d6e5fb8d27136e95/3/5/3501-series-lead-screw-8mm-lead-4-start-650mm-length.jpg_x000a_"/>
    <x v="14"/>
    <x v="92"/>
    <x v="8"/>
    <x v="0"/>
    <x v="106"/>
    <x v="1"/>
    <x v="149"/>
    <x v="0"/>
    <x v="15"/>
    <x v="0"/>
  </r>
  <r>
    <n v="142"/>
    <x v="148"/>
    <d v="2022-02-18T16:31:37"/>
    <x v="0"/>
    <x v="0"/>
    <n v="13.46"/>
    <s v="https://www.robotshop.com/media/catalog/product/cache/image/1350x/9df78eab33525d08d6e5fb8d27136e95/4/m/4mm-15-tooth-pinion-pulley.jpg_x000a_"/>
    <x v="11"/>
    <x v="93"/>
    <x v="8"/>
    <x v="0"/>
    <x v="107"/>
    <x v="1"/>
    <x v="150"/>
    <x v="0"/>
    <x v="16"/>
    <x v="0"/>
  </r>
  <r>
    <n v="143"/>
    <x v="149"/>
    <d v="2022-02-22T10:31:24"/>
    <x v="0"/>
    <x v="0"/>
    <n v="11.97"/>
    <s v="https://www.robotshop.com/media/catalog/product/cache/image/1350x/9df78eab33525d08d6e5fb8d27136e95/8/m/8mm-lead-screw-nut-0770-pattern.jpg_x000a_"/>
    <x v="14"/>
    <x v="94"/>
    <x v="8"/>
    <x v="0"/>
    <x v="108"/>
    <x v="1"/>
    <x v="151"/>
    <x v="0"/>
    <x v="11"/>
    <x v="0"/>
  </r>
  <r>
    <n v="144"/>
    <x v="150"/>
    <d v="2022-02-22T12:55:37"/>
    <x v="0"/>
    <x v="0"/>
    <n v="7.45"/>
    <s v="https://www.robotshop.com/media/catalog/product/cache/image/1350x/9df78eab33525d08d6e5fb8d27136e95/a/c/actobotics-3-precision-wheels-yellow-pair.jpg_x000a_"/>
    <x v="9"/>
    <x v="95"/>
    <x v="8"/>
    <x v="0"/>
    <x v="109"/>
    <x v="1"/>
    <x v="152"/>
    <x v="0"/>
    <x v="10"/>
    <x v="0"/>
  </r>
  <r>
    <n v="145"/>
    <x v="151"/>
    <d v="2022-02-23T13:22:22"/>
    <x v="0"/>
    <x v="0"/>
    <n v="11.97"/>
    <s v="https://www.robotshop.com/media/catalog/product/cache/image/1350x/9df78eab33525d08d6e5fb8d27136e95/3/0/30---150t-3-8-wide-xl-timing.jpg_x000a_"/>
    <x v="11"/>
    <x v="96"/>
    <x v="8"/>
    <x v="0"/>
    <x v="108"/>
    <x v="1"/>
    <x v="153"/>
    <x v="0"/>
    <x v="17"/>
    <x v="0"/>
  </r>
  <r>
    <n v="146"/>
    <x v="152"/>
    <d v="2022-02-23T13:32:50"/>
    <x v="0"/>
    <x v="0"/>
    <n v="6.45"/>
    <s v="https://www.robotshop.com/media/catalog/product/cache/image/1350x/9df78eab33525d08d6e5fb8d27136e95/3/2/32-pitch-36-tooth-delrin-hub-mount-spur-gear.jpg_x000a_"/>
    <x v="12"/>
    <x v="97"/>
    <x v="8"/>
    <x v="0"/>
    <x v="110"/>
    <x v="1"/>
    <x v="154"/>
    <x v="0"/>
    <x v="10"/>
    <x v="0"/>
  </r>
  <r>
    <n v="147"/>
    <x v="153"/>
    <d v="2022-02-23T13:34:44"/>
    <x v="0"/>
    <x v="0"/>
    <n v="5.8"/>
    <s v="https://www.robotshop.com/media/catalog/product/cache/image/1350x/9df78eab33525d08d6e5fb8d27136e95/3/2/32p-16-tooth-25t-3f-spline-servo-mount-gear-acetyl.jpg_x000a_"/>
    <x v="12"/>
    <x v="98"/>
    <x v="8"/>
    <x v="0"/>
    <x v="111"/>
    <x v="1"/>
    <x v="155"/>
    <x v="0"/>
    <x v="12"/>
    <x v="0"/>
  </r>
  <r>
    <n v="148"/>
    <x v="154"/>
    <d v="2022-02-23T13:37:30"/>
    <x v="0"/>
    <x v="0"/>
    <n v="11.37"/>
    <s v="https://www.robotshop.com/media/catalog/product/cache/image/1350x/9df78eab33525d08d6e5fb8d27136e95/3/5/3501-series-lead-screw-8mm-lead-4-start-300mm-length.jpg_x000a_"/>
    <x v="14"/>
    <x v="99"/>
    <x v="8"/>
    <x v="0"/>
    <x v="112"/>
    <x v="1"/>
    <x v="156"/>
    <x v="0"/>
    <x v="13"/>
    <x v="0"/>
  </r>
  <r>
    <n v="149"/>
    <x v="155"/>
    <d v="2022-02-23T13:54:33"/>
    <x v="0"/>
    <x v="0"/>
    <n v="7.48"/>
    <s v="https://www.robotshop.com/media/catalog/product/cache/image/1350x/9df78eab33525d08d6e5fb8d27136e95/8/m/8mm-x-300mm-stainless-steel-precision-shafting.jpg_x000a_"/>
    <x v="15"/>
    <x v="100"/>
    <x v="8"/>
    <x v="0"/>
    <x v="113"/>
    <x v="1"/>
    <x v="157"/>
    <x v="0"/>
    <x v="18"/>
    <x v="0"/>
  </r>
  <r>
    <n v="150"/>
    <x v="156"/>
    <d v="2022-02-23T14:09:49"/>
    <x v="0"/>
    <x v="0"/>
    <n v="3.83"/>
    <s v="https://www.robotshop.com/media/catalog/product/cache/image/1350x/9df78eab33525d08d6e5fb8d27136e95/5/m/5mm-x-300mm-stainless-steel-precision-shafting.jpg_x000a_"/>
    <x v="15"/>
    <x v="101"/>
    <x v="8"/>
    <x v="0"/>
    <x v="114"/>
    <x v="1"/>
    <x v="158"/>
    <x v="0"/>
    <x v="19"/>
    <x v="0"/>
  </r>
  <r>
    <n v="151"/>
    <x v="157"/>
    <d v="2022-02-23T15:20:41"/>
    <x v="0"/>
    <x v="0"/>
    <n v="13.46"/>
    <s v="https://www.robotshop.com/media/catalog/product/cache/image/1350x/9df78eab33525d08d6e5fb8d27136e95/5/m/5mm-15-tooth-pinion-pulley.jpg_x000a_"/>
    <x v="11"/>
    <x v="102"/>
    <x v="8"/>
    <x v="0"/>
    <x v="107"/>
    <x v="1"/>
    <x v="159"/>
    <x v="0"/>
    <x v="16"/>
    <x v="0"/>
  </r>
  <r>
    <n v="152"/>
    <x v="158"/>
    <d v="2022-02-23T16:00:58"/>
    <x v="0"/>
    <x v="0"/>
    <n v="3.07"/>
    <s v="https://www.robotshop.com/media/catalog/product/cache/image/1350x/9df78eab33525d08d6e5fb8d27136e95/5/m/5mm-x-200mm-stainless-steel-precision-shafting.jpg_x000a_"/>
    <x v="15"/>
    <x v="103"/>
    <x v="8"/>
    <x v="0"/>
    <x v="115"/>
    <x v="1"/>
    <x v="160"/>
    <x v="0"/>
    <x v="19"/>
    <x v="0"/>
  </r>
  <r>
    <n v="153"/>
    <x v="159"/>
    <d v="2022-02-23T16:07:17"/>
    <x v="0"/>
    <x v="0"/>
    <n v="7.47"/>
    <s v="https://cdn11.bigcommerce.com/s-tnsp6i3ma6/images/stencil/original/products/3356/22243/625228__83623.1588277396.jpg?c=2_x000a_"/>
    <x v="13"/>
    <x v="104"/>
    <x v="8"/>
    <x v="0"/>
    <x v="116"/>
    <x v="1"/>
    <x v="161"/>
    <x v="0"/>
    <x v="13"/>
    <x v="0"/>
  </r>
  <r>
    <n v="154"/>
    <x v="160"/>
    <d v="2022-02-23T16:11:03"/>
    <x v="0"/>
    <x v="0"/>
    <n v="7.47"/>
    <s v="https://cdn11.bigcommerce.com/s-tnsp6i3ma6/images/stencil/original/products/3334/22238/625224__74002.1588277334.jpg?c=2_x000a_"/>
    <x v="13"/>
    <x v="105"/>
    <x v="8"/>
    <x v="0"/>
    <x v="116"/>
    <x v="1"/>
    <x v="162"/>
    <x v="0"/>
    <x v="13"/>
    <x v="0"/>
  </r>
  <r>
    <n v="155"/>
    <x v="161"/>
    <d v="2022-02-23T16:20:20"/>
    <x v="0"/>
    <x v="0"/>
    <n v="7.47"/>
    <s v="https://www.robotshop.com/media/catalog/product/cache/image/1350x/9df78eab33525d08d6e5fb8d27136e95/4/m/4mm-to-8mm-set-screw-shaft-coupler.jpg_x000a_"/>
    <x v="13"/>
    <x v="106"/>
    <x v="8"/>
    <x v="0"/>
    <x v="116"/>
    <x v="1"/>
    <x v="163"/>
    <x v="0"/>
    <x v="13"/>
    <x v="0"/>
  </r>
  <r>
    <n v="156"/>
    <x v="162"/>
    <d v="2022-02-23T16:33:34"/>
    <x v="0"/>
    <x v="0"/>
    <n v="7.47"/>
    <s v="https://cdn11.bigcommerce.com/s-tnsp6i3ma6/images/stencil/800w/products/3260/22232/625218__27435.1588277198.jpg?c=2_x000a_"/>
    <x v="13"/>
    <x v="107"/>
    <x v="8"/>
    <x v="0"/>
    <x v="116"/>
    <x v="1"/>
    <x v="164"/>
    <x v="0"/>
    <x v="13"/>
    <x v="0"/>
  </r>
  <r>
    <n v="158"/>
    <x v="163"/>
    <d v="2022-03-19T17:39:03"/>
    <x v="0"/>
    <x v="0"/>
    <n v="15.65"/>
    <s v="https://media.digikey.com/Photos/Newhaven%20Display%20Photos/MFG_NHD-0216BZ-FL-YBW.jpg_x000a_"/>
    <x v="8"/>
    <x v="108"/>
    <x v="8"/>
    <x v="0"/>
    <x v="117"/>
    <x v="1"/>
    <x v="165"/>
    <x v="0"/>
    <x v="4"/>
    <x v="0"/>
  </r>
  <r>
    <n v="159"/>
    <x v="164"/>
    <d v="2022-03-19T17:42:26"/>
    <x v="0"/>
    <x v="0"/>
    <m/>
    <s v="https://www.newark.com/productimages/standard/en_US/85W1855-40.jpg_x000a_"/>
    <x v="16"/>
    <x v="109"/>
    <x v="8"/>
    <x v="0"/>
    <x v="29"/>
    <x v="1"/>
    <x v="166"/>
    <x v="2"/>
    <x v="4"/>
    <x v="1"/>
  </r>
  <r>
    <n v="160"/>
    <x v="165"/>
    <d v="2022-03-19T17:46:06"/>
    <x v="0"/>
    <x v="0"/>
    <m/>
    <s v="https://www.newark.com/productimages/standard/en_US/85W2025-40.jpg_x000a_"/>
    <x v="16"/>
    <x v="110"/>
    <x v="8"/>
    <x v="0"/>
    <x v="29"/>
    <x v="1"/>
    <x v="167"/>
    <x v="2"/>
    <x v="4"/>
    <x v="1"/>
  </r>
  <r>
    <n v="161"/>
    <x v="166"/>
    <d v="2022-03-19T17:52:35"/>
    <x v="0"/>
    <x v="0"/>
    <m/>
    <s v="https://cdn-shop.adafruit.com/970x728/4479-04.jpg_x000a_"/>
    <x v="16"/>
    <x v="111"/>
    <x v="8"/>
    <x v="0"/>
    <x v="29"/>
    <x v="1"/>
    <x v="168"/>
    <x v="2"/>
    <x v="4"/>
    <x v="1"/>
  </r>
  <r>
    <n v="162"/>
    <x v="167"/>
    <d v="2022-03-19T17:55:11"/>
    <x v="0"/>
    <x v="0"/>
    <m/>
    <s v="https://cdn-shop.adafruit.com/970x728/2472-00.jpg_x000a_"/>
    <x v="16"/>
    <x v="112"/>
    <x v="8"/>
    <x v="0"/>
    <x v="29"/>
    <x v="1"/>
    <x v="169"/>
    <x v="2"/>
    <x v="4"/>
    <x v="1"/>
  </r>
  <r>
    <n v="164"/>
    <x v="168"/>
    <d v="2022-03-19T18:00:41"/>
    <x v="0"/>
    <x v="0"/>
    <n v="25.27"/>
    <s v="https://media.digikey.com/Photos/Sparkfun%20Elec%20%20Photos/MFG_SEN-17871.jpg_x000a_https://media.digikey.com/Photos/Sparkfun%20Elec%20%20Photos/MFG_SEN-17871.jpg"/>
    <x v="3"/>
    <x v="113"/>
    <x v="8"/>
    <x v="0"/>
    <x v="118"/>
    <x v="1"/>
    <x v="170"/>
    <x v="0"/>
    <x v="4"/>
    <x v="0"/>
  </r>
  <r>
    <n v="165"/>
    <x v="169"/>
    <d v="2022-03-21T12:06:39"/>
    <x v="0"/>
    <x v="0"/>
    <n v="66.16"/>
    <s v="https://cdn-shop.adafruit.com/970x728/464-00.jpg_x000a_"/>
    <x v="3"/>
    <x v="114"/>
    <x v="8"/>
    <x v="0"/>
    <x v="119"/>
    <x v="1"/>
    <x v="171"/>
    <x v="0"/>
    <x v="4"/>
    <x v="0"/>
  </r>
  <r>
    <n v="166"/>
    <x v="170"/>
    <d v="2022-03-21T12:08:29"/>
    <x v="0"/>
    <x v="0"/>
    <m/>
    <s v="https://www.newark.com/productimages/standard/en_US/88AH1488-40.jpg_x000a_"/>
    <x v="16"/>
    <x v="115"/>
    <x v="8"/>
    <x v="0"/>
    <x v="29"/>
    <x v="1"/>
    <x v="172"/>
    <x v="2"/>
    <x v="4"/>
    <x v="1"/>
  </r>
  <r>
    <n v="167"/>
    <x v="171"/>
    <d v="2022-03-21T12:11:20"/>
    <x v="0"/>
    <x v="0"/>
    <n v="35.65"/>
    <s v="https://canada.newark.com/productimages/standard/en_GB/3528437-40.jpg_x000a_"/>
    <x v="3"/>
    <x v="116"/>
    <x v="8"/>
    <x v="0"/>
    <x v="120"/>
    <x v="1"/>
    <x v="173"/>
    <x v="0"/>
    <x v="4"/>
    <x v="0"/>
  </r>
  <r>
    <n v="168"/>
    <x v="172"/>
    <d v="2022-03-21T12:15:14"/>
    <x v="0"/>
    <x v="0"/>
    <n v="12.93"/>
    <s v="https://media.digikey.com/Photos/Seeed%20Technology%20Ltd/101020055.jpg_x000a_https://media.digikey.com/Photos/Seeed%20Technology%20Ltd/101020055.jpg"/>
    <x v="3"/>
    <x v="117"/>
    <x v="8"/>
    <x v="0"/>
    <x v="121"/>
    <x v="1"/>
    <x v="174"/>
    <x v="0"/>
    <x v="4"/>
    <x v="0"/>
  </r>
  <r>
    <n v="170"/>
    <x v="173"/>
    <d v="2022-03-21T12:39:28"/>
    <x v="0"/>
    <x v="0"/>
    <n v="10.130000000000001"/>
    <s v="https://canada.newark.com/productimages/standard/en_US/02AH9092-40.jpg_x000a_"/>
    <x v="3"/>
    <x v="118"/>
    <x v="8"/>
    <x v="0"/>
    <x v="122"/>
    <x v="1"/>
    <x v="175"/>
    <x v="0"/>
    <x v="4"/>
    <x v="0"/>
  </r>
  <r>
    <n v="171"/>
    <x v="174"/>
    <d v="2022-03-21T12:40:58"/>
    <x v="0"/>
    <x v="0"/>
    <n v="17.36"/>
    <s v="https://canada.newark.com/productimages/standard/en_US/51AC1049-40.jpg_x000a_"/>
    <x v="3"/>
    <x v="119"/>
    <x v="8"/>
    <x v="0"/>
    <x v="123"/>
    <x v="1"/>
    <x v="176"/>
    <x v="0"/>
    <x v="4"/>
    <x v="0"/>
  </r>
  <r>
    <n v="172"/>
    <x v="175"/>
    <d v="2022-03-21T12:52:42"/>
    <x v="0"/>
    <x v="0"/>
    <n v="0.65"/>
    <s v="https://canada.newark.com/productimages/standard/en_US/5033309.jpg_x000a_"/>
    <x v="3"/>
    <x v="120"/>
    <x v="8"/>
    <x v="0"/>
    <x v="124"/>
    <x v="1"/>
    <x v="177"/>
    <x v="1"/>
    <x v="5"/>
    <x v="0"/>
  </r>
  <r>
    <n v="173"/>
    <x v="176"/>
    <d v="2022-03-21T12:53:55"/>
    <x v="0"/>
    <x v="0"/>
    <n v="8.59"/>
    <s v="https://canada.newark.com/productimages/standard/en_US/24K0631-40.jpg_x000a_"/>
    <x v="3"/>
    <x v="121"/>
    <x v="8"/>
    <x v="0"/>
    <x v="125"/>
    <x v="1"/>
    <x v="178"/>
    <x v="1"/>
    <x v="1"/>
    <x v="0"/>
  </r>
  <r>
    <n v="174"/>
    <x v="177"/>
    <d v="2022-03-21T12:55:41"/>
    <x v="0"/>
    <x v="0"/>
    <n v="6.49"/>
    <s v="https://media.digikey.com/Photos/TT%20Electronics-Optek%20Photos/OPB100-EZ.jpg_x000a_"/>
    <x v="3"/>
    <x v="122"/>
    <x v="8"/>
    <x v="0"/>
    <x v="126"/>
    <x v="1"/>
    <x v="179"/>
    <x v="1"/>
    <x v="19"/>
    <x v="0"/>
  </r>
  <r>
    <n v="175"/>
    <x v="178"/>
    <d v="2022-03-21T12:59:24"/>
    <x v="0"/>
    <x v="0"/>
    <n v="36.15"/>
    <s v="https://cdn-shop.adafruit.com/970x728/3779-00.jpg_x000a_"/>
    <x v="3"/>
    <x v="123"/>
    <x v="8"/>
    <x v="0"/>
    <x v="127"/>
    <x v="1"/>
    <x v="180"/>
    <x v="0"/>
    <x v="4"/>
    <x v="0"/>
  </r>
  <r>
    <n v="176"/>
    <x v="179"/>
    <d v="2022-03-21T13:00:20"/>
    <x v="0"/>
    <x v="0"/>
    <n v="0.75"/>
    <s v="https://media.digikey.com/photos/Diodes%20Photos/AH1806-P-B.JPG_x000a_"/>
    <x v="3"/>
    <x v="124"/>
    <x v="8"/>
    <x v="0"/>
    <x v="128"/>
    <x v="1"/>
    <x v="181"/>
    <x v="0"/>
    <x v="5"/>
    <x v="0"/>
  </r>
  <r>
    <n v="178"/>
    <x v="180"/>
    <d v="2022-03-21T13:11:16"/>
    <x v="0"/>
    <x v="0"/>
    <n v="7.63"/>
    <s v="https://canada.newark.com/productimages/standard/en_US/3772519.jpg_x000a_"/>
    <x v="3"/>
    <x v="125"/>
    <x v="8"/>
    <x v="0"/>
    <x v="129"/>
    <x v="1"/>
    <x v="182"/>
    <x v="1"/>
    <x v="1"/>
    <x v="0"/>
  </r>
  <r>
    <n v="179"/>
    <x v="181"/>
    <d v="2022-03-21T13:14:46"/>
    <x v="0"/>
    <x v="0"/>
    <n v="6.74"/>
    <s v="https://assets.alliedelec.com/f_auto,,q_auto,,c_scale,,w_400/70973865.jpg_x000a_"/>
    <x v="2"/>
    <x v="126"/>
    <x v="8"/>
    <x v="0"/>
    <x v="130"/>
    <x v="1"/>
    <x v="183"/>
    <x v="0"/>
    <x v="20"/>
    <x v="0"/>
  </r>
  <r>
    <n v="183"/>
    <x v="182"/>
    <d v="2022-03-21T15:24:59"/>
    <x v="0"/>
    <x v="0"/>
    <n v="12.5"/>
    <s v="https://media.digikey.com/Photos/Seeed%20Technology%20Ltd/MFG_114991177.jpg_x000a_"/>
    <x v="3"/>
    <x v="127"/>
    <x v="8"/>
    <x v="0"/>
    <x v="131"/>
    <x v="1"/>
    <x v="184"/>
    <x v="1"/>
    <x v="19"/>
    <x v="0"/>
  </r>
  <r>
    <n v="184"/>
    <x v="183"/>
    <d v="2022-03-21T15:30:46"/>
    <x v="0"/>
    <x v="0"/>
    <n v="10.119999999999999"/>
    <s v="https://canada.newark.com/productimages/standard/en_US/32AC9977-40.jpg_x000a_"/>
    <x v="4"/>
    <x v="128"/>
    <x v="8"/>
    <x v="0"/>
    <x v="132"/>
    <x v="1"/>
    <x v="185"/>
    <x v="0"/>
    <x v="3"/>
    <x v="0"/>
  </r>
  <r>
    <n v="185"/>
    <x v="184"/>
    <d v="2022-03-21T15:32:13"/>
    <x v="0"/>
    <x v="0"/>
    <n v="5.0999999999999996"/>
    <s v="https://canada.newark.com/productimages/standard/en_US/5033265.jpg_x000a_"/>
    <x v="8"/>
    <x v="129"/>
    <x v="8"/>
    <x v="0"/>
    <x v="133"/>
    <x v="1"/>
    <x v="186"/>
    <x v="1"/>
    <x v="1"/>
    <x v="0"/>
  </r>
  <r>
    <n v="186"/>
    <x v="185"/>
    <d v="2022-03-21T15:33:17"/>
    <x v="0"/>
    <x v="0"/>
    <m/>
    <s v="https://canada.newark.com/productimages/standard/en_US/16T0609-40.jpg_x000a_"/>
    <x v="2"/>
    <x v="130"/>
    <x v="8"/>
    <x v="0"/>
    <x v="29"/>
    <x v="1"/>
    <x v="187"/>
    <x v="0"/>
    <x v="4"/>
    <x v="0"/>
  </r>
  <r>
    <n v="187"/>
    <x v="186"/>
    <d v="2022-03-25T12:51:46"/>
    <x v="0"/>
    <x v="0"/>
    <n v="12.01"/>
    <s v="https://www.mouser.ca/images/seeedstudios/lrg/112990066_DSL.jpg_x000a_"/>
    <x v="8"/>
    <x v="9"/>
    <x v="8"/>
    <x v="0"/>
    <x v="134"/>
    <x v="1"/>
    <x v="188"/>
    <x v="0"/>
    <x v="13"/>
    <x v="0"/>
  </r>
  <r>
    <n v="188"/>
    <x v="187"/>
    <d v="2022-05-19T16:57:36"/>
    <x v="0"/>
    <x v="0"/>
    <n v="1.85"/>
    <s v="https://media.digikey.com/Photos/TT%20Electronics%20BI/P160KNP-0QD20B.jpg_x000a_"/>
    <x v="2"/>
    <x v="21"/>
    <x v="8"/>
    <x v="0"/>
    <x v="135"/>
    <x v="1"/>
    <x v="189"/>
    <x v="0"/>
    <x v="1"/>
    <x v="0"/>
  </r>
  <r>
    <n v="189"/>
    <x v="188"/>
    <d v="2022-05-19T17:06:41"/>
    <x v="0"/>
    <x v="0"/>
    <n v="37.25"/>
    <s v="https://media.digikey.com/Photos/Pimoroni%20Photos/MFG_PIM357.jpg_x000a_"/>
    <x v="3"/>
    <x v="131"/>
    <x v="8"/>
    <x v="0"/>
    <x v="136"/>
    <x v="1"/>
    <x v="190"/>
    <x v="0"/>
    <x v="1"/>
    <x v="0"/>
  </r>
  <r>
    <n v="190"/>
    <x v="189"/>
    <d v="2022-05-26T15:03:15"/>
    <x v="0"/>
    <x v="0"/>
    <n v="8.49"/>
    <s v="https://www.robotshop.com/media/catalog/product/cache/image/1350x/9df78eab33525d08d6e5fb8d27136e95/5/v/5v-solenoid-2_1.jpg_x000a_"/>
    <x v="2"/>
    <x v="132"/>
    <x v="8"/>
    <x v="0"/>
    <x v="137"/>
    <x v="1"/>
    <x v="191"/>
    <x v="0"/>
    <x v="1"/>
    <x v="0"/>
  </r>
  <r>
    <n v="192"/>
    <x v="55"/>
    <d v="2022-05-26T15:21:26"/>
    <x v="0"/>
    <x v="0"/>
    <n v="8.4"/>
    <s v="https://dfimg.dfrobot.com/store/data/DFR0379-2.jpg_x000a_"/>
    <x v="2"/>
    <x v="133"/>
    <x v="8"/>
    <x v="0"/>
    <x v="138"/>
    <x v="1"/>
    <x v="192"/>
    <x v="0"/>
    <x v="21"/>
    <x v="0"/>
  </r>
  <r>
    <n v="193"/>
    <x v="190"/>
    <d v="2022-07-11T14:05:41"/>
    <x v="0"/>
    <x v="0"/>
    <n v="8.4"/>
    <s v="https://www.mouser.ca/images/seeedstudios/images/113990010_SPL.jpg_x000a_"/>
    <x v="8"/>
    <x v="134"/>
    <x v="8"/>
    <x v="0"/>
    <x v="138"/>
    <x v="1"/>
    <x v="193"/>
    <x v="0"/>
    <x v="15"/>
    <x v="0"/>
  </r>
  <r>
    <n v="196"/>
    <x v="191"/>
    <d v="2022-09-01T15:06:14"/>
    <x v="0"/>
    <x v="0"/>
    <n v="1"/>
    <s v="https://i5.walmartimages.com/asr/b9dd7f5d-cb41-4e08-bf94-c92092b554ef_1.ed273909102ad360ac7fb09a9b71c57d.jpeg_x000a_"/>
    <x v="10"/>
    <x v="9"/>
    <x v="8"/>
    <x v="0"/>
    <x v="8"/>
    <x v="1"/>
    <x v="194"/>
    <x v="0"/>
    <x v="20"/>
    <x v="0"/>
  </r>
  <r>
    <n v="197"/>
    <x v="192"/>
    <d v="2022-09-01T15:10:06"/>
    <x v="0"/>
    <x v="0"/>
    <n v="1.3"/>
    <s v="https://i5.walmartimages.com/asr/b9dd7f5d-cb41-4e08-bf94-c92092b554ef_1.ed273909102ad360ac7fb09a9b71c57d.jpeg_x000a_"/>
    <x v="10"/>
    <x v="9"/>
    <x v="8"/>
    <x v="0"/>
    <x v="139"/>
    <x v="1"/>
    <x v="195"/>
    <x v="0"/>
    <x v="22"/>
    <x v="0"/>
  </r>
  <r>
    <n v="198"/>
    <x v="193"/>
    <d v="2022-09-01T15:21:52"/>
    <x v="0"/>
    <x v="0"/>
    <n v="0.75"/>
    <s v="https://media.digikey.com/photos/Keystone%20Elect%20Photos/4816.jpg_x000a_"/>
    <x v="10"/>
    <x v="135"/>
    <x v="8"/>
    <x v="0"/>
    <x v="128"/>
    <x v="1"/>
    <x v="196"/>
    <x v="0"/>
    <x v="13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">
  <r>
    <x v="0"/>
    <x v="0"/>
    <x v="0"/>
    <x v="0"/>
    <s v="https://images-na.ssl-images-amazon.com/images/I/61yjnXSieiL._SL1440_.jpg_x000a_https://images-na.ssl-images-amazon.com/images/I/61yjnXSieiL._SL1440_.jpg"/>
    <x v="0"/>
    <x v="0"/>
    <s v="In StockBearing Balls 1/8&quot;: 1/8&quot; - Chrome Steel, $0.05"/>
    <x v="0"/>
    <s v="Bearing Balls 1/8&quot; 1/8&quot; - Chrome Steel"/>
    <x v="0"/>
    <x v="0"/>
    <x v="0"/>
    <x v="0"/>
    <x v="0"/>
    <n v="1"/>
    <d v="2019-11-22T09:45:27"/>
    <x v="0"/>
    <x v="0"/>
  </r>
  <r>
    <x v="1"/>
    <x v="0"/>
    <x v="0"/>
    <x v="1"/>
    <s v="https://images-na.ssl-images-amazon.com/images/I/61yjnXSieiL._SL1440_.jpg_x000a_https://images-na.ssl-images-amazon.com/images/I/61yjnXSieiL._SL1440_.jpg"/>
    <x v="0"/>
    <x v="0"/>
    <s v="In StockBearing Balls 3/16&quot;: 3/16&quot; - Chrome Steel, $0.05"/>
    <x v="0"/>
    <s v="Bearing Balls 3/16&quot; 3/16&quot; - Chrome Steel"/>
    <x v="1"/>
    <x v="0"/>
    <x v="0"/>
    <x v="0"/>
    <x v="0"/>
    <n v="2"/>
    <d v="2019-11-22T09:45:36"/>
    <x v="0"/>
    <x v="0"/>
  </r>
  <r>
    <x v="2"/>
    <x v="0"/>
    <x v="0"/>
    <x v="2"/>
    <s v="https://images-na.ssl-images-amazon.com/images/I/61yjnXSieiL._SL1440_.jpg_x000a_https://images-na.ssl-images-amazon.com/images/I/61yjnXSieiL._SL1440_.jpg"/>
    <x v="0"/>
    <x v="0"/>
    <s v="In StockBearing Balls 5/32&quot;: 5/32&quot; - Chrome Steel, $0.05"/>
    <x v="0"/>
    <s v="Bearing Balls 5/32&quot; 5/32&quot; - Chrome Steel"/>
    <x v="2"/>
    <x v="0"/>
    <x v="0"/>
    <x v="0"/>
    <x v="0"/>
    <n v="3"/>
    <d v="2019-11-22T09:45:38"/>
    <x v="0"/>
    <x v="0"/>
  </r>
  <r>
    <x v="3"/>
    <x v="0"/>
    <x v="0"/>
    <x v="3"/>
    <s v="https://images-na.ssl-images-amazon.com/images/I/61yjnXSieiL._SL1440_.jpg_x000a_https://images-na.ssl-images-amazon.com/images/I/61yjnXSieiL._SL1440_.jpg"/>
    <x v="0"/>
    <x v="0"/>
    <s v="In StockBearing Balls 7/32&quot;: 7/32&quot; - Chrome Steel, $0.05"/>
    <x v="0"/>
    <s v="Bearing Balls 7/32&quot; 7/32&quot; - Chrome Steel"/>
    <x v="3"/>
    <x v="0"/>
    <x v="0"/>
    <x v="0"/>
    <x v="0"/>
    <n v="4"/>
    <d v="2019-11-22T09:45:38"/>
    <x v="0"/>
    <x v="0"/>
  </r>
  <r>
    <x v="4"/>
    <x v="0"/>
    <x v="0"/>
    <x v="4"/>
    <s v="https://images-na.ssl-images-amazon.com/images/I/61yjnXSieiL._SL1440_.jpg_x000a_https://images-na.ssl-images-amazon.com/images/I/61yjnXSieiL._SL1440_.jpg"/>
    <x v="0"/>
    <x v="0"/>
    <s v="In StockBearing Balls 1/4&quot;: 1/4&quot; - Chrome Steel, $0.05"/>
    <x v="0"/>
    <s v="Bearing Balls 1/4&quot; 1/4&quot; - Chrome Steel"/>
    <x v="4"/>
    <x v="0"/>
    <x v="0"/>
    <x v="0"/>
    <x v="0"/>
    <n v="5"/>
    <d v="2019-11-22T09:46:22"/>
    <x v="0"/>
    <x v="0"/>
  </r>
  <r>
    <x v="5"/>
    <x v="1"/>
    <x v="1"/>
    <x v="5"/>
    <s v="https://images-na.ssl-images-amazon.com/images/I/61X8ya2vV1L._SL1001_.jpg_x000a_https://images-na.ssl-images-amazon.com/images/I/61X8ya2vV1L._SL1001_.jpg"/>
    <x v="0"/>
    <x v="0"/>
    <s v="In StockMini Ball Bearings: 5 mm x 11 mm x 4 mm, $1.2"/>
    <x v="0"/>
    <s v="Mini Ball Bearings 5 mm x 11 mm x 4 mm"/>
    <x v="5"/>
    <x v="0"/>
    <x v="0"/>
    <x v="0"/>
    <x v="1"/>
    <n v="6"/>
    <d v="2019-11-22T09:47:20"/>
    <x v="0"/>
    <x v="0"/>
  </r>
  <r>
    <x v="6"/>
    <x v="2"/>
    <x v="2"/>
    <x v="6"/>
    <m/>
    <x v="1"/>
    <x v="0"/>
    <s v="In StockThreaded rod 1/4 20: 1/4-20 Threaded rod 1 foot, $2.67"/>
    <x v="0"/>
    <s v="Threaded rod 1/4 20 1/4-20 Threaded rod 1 foot"/>
    <x v="6"/>
    <x v="0"/>
    <x v="1"/>
    <x v="1"/>
    <x v="0"/>
    <n v="7"/>
    <d v="2020-01-09T17:25:39"/>
    <x v="0"/>
    <x v="0"/>
  </r>
  <r>
    <x v="7"/>
    <x v="3"/>
    <x v="2"/>
    <x v="7"/>
    <m/>
    <x v="2"/>
    <x v="1"/>
    <s v="'Out of Stock'ESC204 Workshop Rover W/Consumables: , $99.22"/>
    <x v="0"/>
    <s v="ESC204 Workshop Rover W/Consumables "/>
    <x v="7"/>
    <x v="0"/>
    <x v="0"/>
    <x v="2"/>
    <x v="1"/>
    <n v="8"/>
    <d v="2020-02-03T13:32:57"/>
    <x v="0"/>
    <x v="0"/>
  </r>
  <r>
    <x v="8"/>
    <x v="4"/>
    <x v="2"/>
    <x v="7"/>
    <m/>
    <x v="2"/>
    <x v="1"/>
    <s v="'Out of Stock'ESC204 Workshop Consumables Only: , $13.79"/>
    <x v="0"/>
    <s v="ESC204 Workshop Consumables Only "/>
    <x v="8"/>
    <x v="0"/>
    <x v="0"/>
    <x v="2"/>
    <x v="1"/>
    <n v="9"/>
    <d v="2020-02-03T13:33:22"/>
    <x v="0"/>
    <x v="0"/>
  </r>
  <r>
    <x v="9"/>
    <x v="5"/>
    <x v="2"/>
    <x v="8"/>
    <s v="https://assets.leevalley.com/Size4/10035/99K3213-1-0-inch-x-0-125-inch-rare-earth-magnets-pkg-of-5-f-01.jpg_x000a_https://assets.leevalley.com/Size4/10035/99K3213-1-0-inch-x-0-125-inch-rare-earth-magnets-pkg-of-5-f-01.jpg"/>
    <x v="2"/>
    <x v="1"/>
    <s v="'Out of Stock'Neodymium Magnet: 1&quot; dia x 1/8&quot; thick, $16.61"/>
    <x v="0"/>
    <s v="Neodymium Magnet 1&quot; dia x 1/8&quot; thick"/>
    <x v="9"/>
    <x v="0"/>
    <x v="0"/>
    <x v="1"/>
    <x v="1"/>
    <n v="10"/>
    <d v="2020-02-10T11:38:44"/>
    <x v="0"/>
    <x v="0"/>
  </r>
  <r>
    <x v="10"/>
    <x v="6"/>
    <x v="2"/>
    <x v="9"/>
    <m/>
    <x v="2"/>
    <x v="1"/>
    <s v="'Out of Stock'MSE398 tensile tester Kit: 2020-2021, $100"/>
    <x v="0"/>
    <s v="MSE398 tensile tester Kit 2020-2021"/>
    <x v="10"/>
    <x v="0"/>
    <x v="0"/>
    <x v="2"/>
    <x v="1"/>
    <n v="11"/>
    <d v="2020-12-14T12:23:20"/>
    <x v="0"/>
    <x v="0"/>
  </r>
  <r>
    <x v="11"/>
    <x v="7"/>
    <x v="3"/>
    <x v="10"/>
    <s v="https://media.digikey.com/Photos/APM%20Hexseal%20Photos/RM3X6MM-2701.jpg_x000a_https://media.digikey.com/Photos/APM%20Hexseal%20Photos/RM3X6MM-2701.jpg"/>
    <x v="3"/>
    <x v="2"/>
    <s v="'In Stock'M3 pitch 0.50- 5mm: 5mm, $0.09"/>
    <x v="0"/>
    <s v="M3 pitch 0.50- 5mm 5mm"/>
    <x v="11"/>
    <x v="0"/>
    <x v="0"/>
    <x v="3"/>
    <x v="2"/>
    <n v="12"/>
    <d v="2021-10-22T21:46:23"/>
    <x v="0"/>
    <x v="0"/>
  </r>
  <r>
    <x v="12"/>
    <x v="8"/>
    <x v="4"/>
    <x v="11"/>
    <s v="https://media.digikey.com/Photos/APM%20Hexseal%20Photos/RM3X6MM-2701.jpg_x000a_https://media.digikey.com/Photos/APM%20Hexseal%20Photos/RM3X6MM-2701.jpg"/>
    <x v="4"/>
    <x v="3"/>
    <s v="Out of StockM3 pitch 0.50- 6mm: 6 mm, $0.12"/>
    <x v="0"/>
    <s v="M3 pitch 0.50- 6mm 6 mm"/>
    <x v="12"/>
    <x v="0"/>
    <x v="0"/>
    <x v="3"/>
    <x v="1"/>
    <n v="13"/>
    <d v="2021-10-22T21:48:35"/>
    <x v="0"/>
    <x v="0"/>
  </r>
  <r>
    <x v="13"/>
    <x v="9"/>
    <x v="5"/>
    <x v="12"/>
    <s v="https://media.digikey.com/Photos/APM%20Hexseal%20Photos/RM3X6MM-2701.jpg_x000a_https://media.digikey.com/Photos/APM%20Hexseal%20Photos/RM3X6MM-2701.jpg"/>
    <x v="3"/>
    <x v="4"/>
    <s v="3M3 pitch 0.50- 8mm: 8 mm, $0.11"/>
    <x v="0"/>
    <s v="M3 pitch 0.50- 8mm 8 mm"/>
    <x v="13"/>
    <x v="1"/>
    <x v="0"/>
    <x v="3"/>
    <x v="2"/>
    <n v="14"/>
    <d v="2021-10-22T21:50:06"/>
    <x v="0"/>
    <x v="0"/>
  </r>
  <r>
    <x v="14"/>
    <x v="8"/>
    <x v="5"/>
    <x v="13"/>
    <s v="https://media.digikey.com/Photos/APM%20Hexseal%20Photos/RM3X6MM-2701.jpg_x000a_https://media.digikey.com/Photos/APM%20Hexseal%20Photos/RM3X6MM-2701.jpg"/>
    <x v="3"/>
    <x v="4"/>
    <s v="3M3 pitch 0.50- 10mm: 10 mm, $0.12"/>
    <x v="0"/>
    <s v="M3 pitch 0.50- 10mm 10 mm"/>
    <x v="14"/>
    <x v="0"/>
    <x v="0"/>
    <x v="3"/>
    <x v="0"/>
    <n v="15"/>
    <d v="2021-10-22T21:51:23"/>
    <x v="0"/>
    <x v="0"/>
  </r>
  <r>
    <x v="15"/>
    <x v="10"/>
    <x v="6"/>
    <x v="14"/>
    <s v="https://media.digikey.com/Photos/APM%20Hexseal%20Photos/RM3X6MM-2701.jpg_x000a_https://media.digikey.com/Photos/APM%20Hexseal%20Photos/RM3X6MM-2701.jpg"/>
    <x v="3"/>
    <x v="2"/>
    <s v="'In Stock'M3 pitch 0.50- 12mm: 12 mm, $0.07"/>
    <x v="0"/>
    <s v="M3 pitch 0.50- 12mm 12 mm"/>
    <x v="15"/>
    <x v="2"/>
    <x v="0"/>
    <x v="3"/>
    <x v="0"/>
    <n v="16"/>
    <d v="2021-10-22T21:55:43"/>
    <x v="0"/>
    <x v="0"/>
  </r>
  <r>
    <x v="16"/>
    <x v="11"/>
    <x v="5"/>
    <x v="15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3"/>
    <x v="4"/>
    <s v="3M3 pitch 0.50- 20mm: 20 mm, $0.15"/>
    <x v="0"/>
    <s v="M3 pitch 0.50- 20mm 20 mm"/>
    <x v="16"/>
    <x v="0"/>
    <x v="0"/>
    <x v="3"/>
    <x v="0"/>
    <n v="17"/>
    <d v="2021-10-25T15:09:20"/>
    <x v="0"/>
    <x v="0"/>
  </r>
  <r>
    <x v="17"/>
    <x v="8"/>
    <x v="3"/>
    <x v="16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3"/>
    <x v="2"/>
    <s v="'In Stock'M3 pitch 0.50- 25mm: 25 mm, $0.12"/>
    <x v="0"/>
    <s v="M3 pitch 0.50- 25mm 25 mm"/>
    <x v="17"/>
    <x v="0"/>
    <x v="0"/>
    <x v="3"/>
    <x v="0"/>
    <n v="18"/>
    <d v="2021-10-25T15:10:38"/>
    <x v="0"/>
    <x v="0"/>
  </r>
  <r>
    <x v="18"/>
    <x v="12"/>
    <x v="3"/>
    <x v="17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5"/>
    <x v="2"/>
    <s v="'In Stock'M3 pitch 0.50- 35mm: 35 mm, $0.14"/>
    <x v="0"/>
    <s v="M3 pitch 0.50- 35mm 35 mm"/>
    <x v="18"/>
    <x v="0"/>
    <x v="0"/>
    <x v="3"/>
    <x v="0"/>
    <n v="19"/>
    <d v="2021-10-25T15:11:40"/>
    <x v="0"/>
    <x v="0"/>
  </r>
  <r>
    <x v="19"/>
    <x v="13"/>
    <x v="3"/>
    <x v="18"/>
    <s v="https://m.media-amazon.com/images/I/71bhu5s7T2L._SL1500_.jpg_x000a_https://m.media-amazon.com/images/I/71bhu5s7T2L._SL1500_.jpg"/>
    <x v="5"/>
    <x v="2"/>
    <s v="'In Stock'M3 pitch 0.50- 40mm: 40 mm, $0.25"/>
    <x v="0"/>
    <s v="M3 pitch 0.50- 40mm 40 mm"/>
    <x v="19"/>
    <x v="0"/>
    <x v="0"/>
    <x v="3"/>
    <x v="0"/>
    <n v="20"/>
    <d v="2021-10-25T15:13:18"/>
    <x v="0"/>
    <x v="0"/>
  </r>
  <r>
    <x v="20"/>
    <x v="14"/>
    <x v="3"/>
    <x v="17"/>
    <s v="https://m.media-amazon.com/images/I/71bhu5s7T2L._SL1500_.jpg_x000a_https://m.media-amazon.com/images/I/71bhu5s7T2L._SL1500_.jpg"/>
    <x v="0"/>
    <x v="2"/>
    <s v="'In Stock'M4 pitch 0.70- 35mm: 35 mm, $0.31"/>
    <x v="0"/>
    <s v="M4 pitch 0.70- 35mm 35 mm"/>
    <x v="20"/>
    <x v="0"/>
    <x v="0"/>
    <x v="3"/>
    <x v="0"/>
    <n v="21"/>
    <d v="2021-10-25T15:15:30"/>
    <x v="0"/>
    <x v="0"/>
  </r>
  <r>
    <x v="21"/>
    <x v="15"/>
    <x v="3"/>
    <x v="17"/>
    <s v="https://m.media-amazon.com/images/I/71bhu5s7T2L._SL1500_.jpg_x000a_https://m.media-amazon.com/images/I/71bhu5s7T2L._SL1500_.jpg"/>
    <x v="0"/>
    <x v="2"/>
    <s v="'In Stock'M5 pitch 0.80- 35mm: 35 mm, $0.35"/>
    <x v="0"/>
    <s v="M5 pitch 0.80- 35mm 35 mm"/>
    <x v="21"/>
    <x v="0"/>
    <x v="0"/>
    <x v="3"/>
    <x v="0"/>
    <n v="22"/>
    <d v="2021-10-25T15:17:13"/>
    <x v="0"/>
    <x v="0"/>
  </r>
  <r>
    <x v="22"/>
    <x v="16"/>
    <x v="3"/>
    <x v="7"/>
    <s v="https://www.pcboard.ca/image/cache/catalog/products/fasteners/Stainless-Steel-Hex-Nut-800x800.jpg_x000a_https://www.pcboard.ca/image/cache/catalog/products/fasteners/Stainless-Steel-Hex-Nut-800x800.jpg"/>
    <x v="6"/>
    <x v="2"/>
    <s v="'In Stock'Hex nut M3 pitch 0.5: , $0.08"/>
    <x v="0"/>
    <s v="Hex nut M3 pitch 0.5 "/>
    <x v="22"/>
    <x v="0"/>
    <x v="2"/>
    <x v="4"/>
    <x v="0"/>
    <n v="23"/>
    <d v="2021-10-25T15:19:47"/>
    <x v="0"/>
    <x v="0"/>
  </r>
  <r>
    <x v="23"/>
    <x v="17"/>
    <x v="7"/>
    <x v="7"/>
    <s v="https://www.pcboard.ca/image/cache/catalog/products/fasteners/Stainless-Steel-Hex-Nut-800x800.jpg_x000a_https://www.pcboard.ca/image/cache/catalog/products/fasteners/Stainless-Steel-Hex-Nut-800x800.jpg"/>
    <x v="0"/>
    <x v="2"/>
    <s v="'In Stock'Hex nut M5 pitch 0.80: , $0.06"/>
    <x v="0"/>
    <s v="Hex nut M5 pitch 0.80 "/>
    <x v="23"/>
    <x v="3"/>
    <x v="0"/>
    <x v="4"/>
    <x v="0"/>
    <n v="24"/>
    <d v="2021-10-25T15:20:48"/>
    <x v="0"/>
    <x v="0"/>
  </r>
  <r>
    <x v="24"/>
    <x v="18"/>
    <x v="7"/>
    <x v="7"/>
    <s v="https://www.pcboard.ca/image/cache/catalog/products/fasteners/Stainless-Steel-Hex-Nut-800x800.jpg_x000a_https://www.pcboard.ca/image/cache/catalog/products/fasteners/Stainless-Steel-Hex-Nut-800x800.jpg"/>
    <x v="0"/>
    <x v="2"/>
    <s v="'In Stock'Hex nut M4 pitch 0.70: , $0.1"/>
    <x v="0"/>
    <s v="Hex nut M4 pitch 0.70 "/>
    <x v="24"/>
    <x v="3"/>
    <x v="0"/>
    <x v="4"/>
    <x v="0"/>
    <n v="25"/>
    <d v="2021-10-25T15:21:49"/>
    <x v="0"/>
    <x v="0"/>
  </r>
  <r>
    <x v="25"/>
    <x v="18"/>
    <x v="8"/>
    <x v="19"/>
    <s v="https://www.sherline.com/wp-content/uploads/2018/02/43190.png_x000a_https://www.sherline.com/wp-content/uploads/2018/02/43190.png"/>
    <x v="2"/>
    <x v="1"/>
    <s v="'Out of Stock'6 x 1/2&quot; Flat Head: 1/2&quot;, $0.1"/>
    <x v="0"/>
    <s v="6 x 1/2&quot; Flat Head 1/2&quot;"/>
    <x v="25"/>
    <x v="3"/>
    <x v="3"/>
    <x v="5"/>
    <x v="0"/>
    <n v="27"/>
    <d v="2021-11-04T18:21:04"/>
    <x v="0"/>
    <x v="0"/>
  </r>
  <r>
    <x v="26"/>
    <x v="10"/>
    <x v="2"/>
    <x v="20"/>
    <s v="https://www.sherline.com/wp-content/uploads/2018/02/43190.png_x000a_https://www.sherline.com/wp-content/uploads/2018/02/43190.png"/>
    <x v="2"/>
    <x v="1"/>
    <s v="'Out of Stock'6 x 1/2&quot; Round Head : WS-120, $0.07"/>
    <x v="0"/>
    <s v="6 x 1/2&quot; Round Head  WS-120"/>
    <x v="26"/>
    <x v="0"/>
    <x v="3"/>
    <x v="5"/>
    <x v="0"/>
    <n v="28"/>
    <d v="2021-11-04T18:29:01"/>
    <x v="0"/>
    <x v="0"/>
  </r>
  <r>
    <x v="27"/>
    <x v="11"/>
    <x v="8"/>
    <x v="21"/>
    <s v="https://www.sherline.com/wp-content/uploads/2018/02/43190.png_x000a_https://www.sherline.com/wp-content/uploads/2018/02/43190.png"/>
    <x v="3"/>
    <x v="3"/>
    <s v="Out of Stock6 x 1&quot; Flat Head: 593-K02-1Y, $0.15"/>
    <x v="0"/>
    <s v="6 x 1&quot; Flat Head 593-K02-1Y"/>
    <x v="27"/>
    <x v="2"/>
    <x v="3"/>
    <x v="5"/>
    <x v="0"/>
    <n v="29"/>
    <d v="2021-11-04T18:31:49"/>
    <x v="0"/>
    <x v="0"/>
  </r>
  <r>
    <x v="28"/>
    <x v="19"/>
    <x v="8"/>
    <x v="22"/>
    <s v="https://www.sherline.com/wp-content/uploads/2018/02/43190.png_x000a_https://www.sherline.com/wp-content/uploads/2018/02/43190.png"/>
    <x v="3"/>
    <x v="0"/>
    <s v="In Stock6 x 1 1/2&quot; Flat Head: 593-005, $0.23"/>
    <x v="0"/>
    <s v="6 x 1 1/2&quot; Flat Head 593-005"/>
    <x v="28"/>
    <x v="3"/>
    <x v="3"/>
    <x v="5"/>
    <x v="0"/>
    <n v="30"/>
    <d v="2021-11-04T18:34:49"/>
    <x v="0"/>
    <x v="0"/>
  </r>
  <r>
    <x v="29"/>
    <x v="16"/>
    <x v="2"/>
    <x v="23"/>
    <s v="https://www.sherline.com/wp-content/uploads/2018/02/43190.png_x000a_https://www.sherline.com/wp-content/uploads/2018/02/43190.png"/>
    <x v="3"/>
    <x v="0"/>
    <s v="In Stock6 x 2&quot; Flat Head: WS-94, $0.08"/>
    <x v="0"/>
    <s v="6 x 2&quot; Flat Head WS-94"/>
    <x v="29"/>
    <x v="0"/>
    <x v="3"/>
    <x v="5"/>
    <x v="0"/>
    <n v="31"/>
    <d v="2021-11-04T18:36:38"/>
    <x v="0"/>
    <x v="0"/>
  </r>
  <r>
    <x v="30"/>
    <x v="13"/>
    <x v="2"/>
    <x v="24"/>
    <s v="https://www.sherline.com/wp-content/uploads/2018/02/43190.png_x000a_https://www.sherline.com/wp-content/uploads/2018/02/43190.png"/>
    <x v="3"/>
    <x v="0"/>
    <s v="In Stock8 x 1&quot; Flat Head: WS-20, $0.25"/>
    <x v="0"/>
    <s v="8 x 1&quot; Flat Head WS-20"/>
    <x v="30"/>
    <x v="0"/>
    <x v="3"/>
    <x v="5"/>
    <x v="0"/>
    <n v="32"/>
    <d v="2021-11-04T18:38:12"/>
    <x v="0"/>
    <x v="0"/>
  </r>
  <r>
    <x v="31"/>
    <x v="10"/>
    <x v="2"/>
    <x v="25"/>
    <s v="https://www.sherline.com/wp-content/uploads/2018/02/43190.png_x000a_https://www.sherline.com/wp-content/uploads/2018/02/43190.png"/>
    <x v="3"/>
    <x v="3"/>
    <s v="Out of Stock8 x 1 1/2&quot; Flat Head: 593-KO5-1T, $0.07"/>
    <x v="0"/>
    <s v="8 x 1 1/2&quot; Flat Head 593-KO5-1T"/>
    <x v="31"/>
    <x v="0"/>
    <x v="3"/>
    <x v="5"/>
    <x v="1"/>
    <n v="33"/>
    <d v="2021-11-04T18:40:16"/>
    <x v="0"/>
    <x v="0"/>
  </r>
  <r>
    <x v="32"/>
    <x v="20"/>
    <x v="2"/>
    <x v="26"/>
    <s v="https://www.sherline.com/wp-content/uploads/2018/02/43190.png_x000a_https://www.sherline.com/wp-content/uploads/2018/02/43190.png"/>
    <x v="2"/>
    <x v="1"/>
    <s v="'Out of Stock'8 x 4&quot; Flat Head: 4&quot;, $0.29"/>
    <x v="0"/>
    <s v="8 x 4&quot; Flat Head 4&quot;"/>
    <x v="32"/>
    <x v="0"/>
    <x v="3"/>
    <x v="5"/>
    <x v="0"/>
    <n v="34"/>
    <d v="2021-11-04T18:41:54"/>
    <x v="0"/>
    <x v="0"/>
  </r>
  <r>
    <x v="33"/>
    <x v="21"/>
    <x v="2"/>
    <x v="27"/>
    <s v="https://www.sherline.com/wp-content/uploads/2018/02/43190.png_x000a_https://www.sherline.com/wp-content/uploads/2018/02/43190.png"/>
    <x v="2"/>
    <x v="1"/>
    <s v="'Out of Stock'12 x 3/4&quot; Flat Head: 3/4&quot;, $0.22"/>
    <x v="0"/>
    <s v="12 x 3/4&quot; Flat Head 3/4&quot;"/>
    <x v="33"/>
    <x v="0"/>
    <x v="3"/>
    <x v="5"/>
    <x v="0"/>
    <n v="35"/>
    <d v="2021-11-04T18:44:32"/>
    <x v="0"/>
    <x v="0"/>
  </r>
  <r>
    <x v="34"/>
    <x v="22"/>
    <x v="2"/>
    <x v="28"/>
    <s v="https://www.sherline.com/wp-content/uploads/2018/02/43190.png_x000a_https://www.sherline.com/wp-content/uploads/2018/02/43190.png"/>
    <x v="2"/>
    <x v="1"/>
    <s v="'Out of Stock'12 x 1&quot; Flat Head: 1&quot;, $0.19"/>
    <x v="0"/>
    <s v="12 x 1&quot; Flat Head 1&quot;"/>
    <x v="34"/>
    <x v="0"/>
    <x v="3"/>
    <x v="5"/>
    <x v="1"/>
    <n v="36"/>
    <d v="2021-11-04T18:45:59"/>
    <x v="0"/>
    <x v="0"/>
  </r>
  <r>
    <x v="35"/>
    <x v="23"/>
    <x v="2"/>
    <x v="29"/>
    <s v="https://www.sherline.com/wp-content/uploads/2018/02/43190.png_x000a_https://www.sherline.com/wp-content/uploads/2018/02/43190.png"/>
    <x v="2"/>
    <x v="1"/>
    <s v="'Out of Stock'12 x 1 1/2&quot; Flat Head: 1 1/2&quot;, $0.21"/>
    <x v="0"/>
    <s v="12 x 1 1/2&quot; Flat Head 1 1/2&quot;"/>
    <x v="35"/>
    <x v="0"/>
    <x v="3"/>
    <x v="5"/>
    <x v="0"/>
    <n v="37"/>
    <d v="2021-11-04T18:48:36"/>
    <x v="0"/>
    <x v="0"/>
  </r>
  <r>
    <x v="36"/>
    <x v="24"/>
    <x v="2"/>
    <x v="26"/>
    <s v="https://www.sherline.com/wp-content/uploads/2018/02/43190.png_x000a_https://www.sherline.com/wp-content/uploads/2018/02/43190.png"/>
    <x v="2"/>
    <x v="1"/>
    <s v="'Out of Stock'12 x 4&quot; Flat Head: 4&quot;, $0.75"/>
    <x v="0"/>
    <s v="12 x 4&quot; Flat Head 4&quot;"/>
    <x v="36"/>
    <x v="0"/>
    <x v="3"/>
    <x v="5"/>
    <x v="0"/>
    <n v="38"/>
    <d v="2021-11-04T18:50:12"/>
    <x v="0"/>
    <x v="0"/>
  </r>
  <r>
    <x v="37"/>
    <x v="25"/>
    <x v="8"/>
    <x v="30"/>
    <s v="https://mcfaddens.com/images/product/medium/147671.jpg_x000a_https://mcfaddens.com/images/product/medium/147671.jpg"/>
    <x v="2"/>
    <x v="5"/>
    <s v="6 x 3/4&quot; Flat Head: WS-56, $0.13"/>
    <x v="0"/>
    <s v="6 x 3/4&quot; Flat Head WS-56"/>
    <x v="37"/>
    <x v="2"/>
    <x v="3"/>
    <x v="5"/>
    <x v="2"/>
    <n v="39"/>
    <d v="2021-11-04T18:54:31"/>
    <x v="0"/>
    <x v="0"/>
  </r>
  <r>
    <x v="38"/>
    <x v="16"/>
    <x v="6"/>
    <x v="7"/>
    <s v="http://cdn.shopify.com/s/files/1/1255/8379/products/2299_1-B_7cb76349-ae56-4429-bdcc-c6229ee06ea3_800x.jpg?v=1628090446_x000a_http://cdn.shopify.com/s/files/1/1255/8379/products/2299_1-B_7cb76349-ae56-4429-bdcc-c6229ee06ea3_800x.jpg?v=1628090446"/>
    <x v="5"/>
    <x v="0"/>
    <s v="In Stock6-32 x 1/4&quot; Oval Head: , $0.08"/>
    <x v="0"/>
    <s v="6-32 x 1/4&quot; Oval Head "/>
    <x v="38"/>
    <x v="3"/>
    <x v="3"/>
    <x v="3"/>
    <x v="0"/>
    <n v="40"/>
    <d v="2021-11-04T18:56:16"/>
    <x v="0"/>
    <x v="0"/>
  </r>
  <r>
    <x v="39"/>
    <x v="9"/>
    <x v="6"/>
    <x v="7"/>
    <s v="https://i.ebayimg.com/images/g/DkYAAOSw6fpbW34H/s-l300.jpg_x000a_https://i.ebayimg.com/images/g/DkYAAOSw6fpbW34H/s-l300.jpg"/>
    <x v="2"/>
    <x v="1"/>
    <s v="'Out of Stock'6-32 x 1/2&quot; Round Head: , $0.11"/>
    <x v="0"/>
    <s v="6-32 x 1/2&quot; Round Head "/>
    <x v="39"/>
    <x v="3"/>
    <x v="3"/>
    <x v="3"/>
    <x v="2"/>
    <n v="41"/>
    <d v="2021-11-04T18:57:46"/>
    <x v="0"/>
    <x v="0"/>
  </r>
  <r>
    <x v="40"/>
    <x v="9"/>
    <x v="6"/>
    <x v="31"/>
    <s v="https://i.ebayimg.com/images/g/9VUAAOSwqj5bW34d/s-l300.jpg_x000a_https://i.ebayimg.com/images/g/9VUAAOSwqj5bW34d/s-l300.jpg"/>
    <x v="5"/>
    <x v="0"/>
    <s v="In Stock6-32 x 3/4&quot; Round Head: 385-084, $0.11"/>
    <x v="0"/>
    <s v="6-32 x 3/4&quot; Round Head 385-084"/>
    <x v="40"/>
    <x v="3"/>
    <x v="3"/>
    <x v="3"/>
    <x v="0"/>
    <n v="42"/>
    <d v="2021-11-04T18:59:20"/>
    <x v="0"/>
    <x v="0"/>
  </r>
  <r>
    <x v="41"/>
    <x v="10"/>
    <x v="2"/>
    <x v="32"/>
    <s v="https://cdn11.bigcommerce.com/s-scmrv6kkrz/products/201910/images/174467/no-6-32-x-1-phillips-pan-head-a-point-machine-screw-18-8-stainless-steel-64c1__05661.1568390666.386.513.jpg?c=2_x000a_https://cdn11.bigcommerce.com/s-scmrv6kkrz/products/201910/images/174467/no-6-32-x-1-phillips-pan-head-a-point-machine-screw-18-8-stainless-steel-64c1__05661.1568390666.386.513.jpg?c=2"/>
    <x v="0"/>
    <x v="0"/>
    <s v="In Stock6-32 x 1&quot; Round Head: 385-B25-1Y, $0.07"/>
    <x v="0"/>
    <s v="6-32 x 1&quot; Round Head 385-B25-1Y"/>
    <x v="41"/>
    <x v="0"/>
    <x v="3"/>
    <x v="3"/>
    <x v="0"/>
    <n v="43"/>
    <d v="2021-11-04T19:00:29"/>
    <x v="0"/>
    <x v="0"/>
  </r>
  <r>
    <x v="42"/>
    <x v="0"/>
    <x v="2"/>
    <x v="33"/>
    <s v="https://homedepot.scene7.com/is/image/homedepotcanada/p_1000181325.jpg?wid=1000&amp;hei=1000&amp;op_sharpen=1_x000a_https://homedepot.scene7.com/is/image/homedepotcanada/p_1000181325.jpg?wid=1000&amp;hei=1000&amp;op_sharpen=1"/>
    <x v="5"/>
    <x v="0"/>
    <s v="In Stock8-32 x 1/2&quot; Round Head: 385-B07-1M, $0.05"/>
    <x v="0"/>
    <s v="8-32 x 1/2&quot; Round Head 385-B07-1M"/>
    <x v="42"/>
    <x v="0"/>
    <x v="3"/>
    <x v="3"/>
    <x v="0"/>
    <n v="44"/>
    <d v="2021-11-04T19:01:54"/>
    <x v="0"/>
    <x v="0"/>
  </r>
  <r>
    <x v="43"/>
    <x v="26"/>
    <x v="6"/>
    <x v="34"/>
    <s v="https://images.thdstatic.com/productImages/d3048261-ef1d-4708-9dfd-90876229c73c/svn/machine-screws-803031-64_300.jpg_x000a_https://images.thdstatic.com/productImages/d3048261-ef1d-4708-9dfd-90876229c73c/svn/machine-screws-803031-64_300.jpg"/>
    <x v="0"/>
    <x v="0"/>
    <s v="In Stock8-32 x 3/4&quot; Round Head: 385-B56-1W, $0.16"/>
    <x v="0"/>
    <s v="8-32 x 3/4&quot; Round Head 385-B56-1W"/>
    <x v="43"/>
    <x v="3"/>
    <x v="3"/>
    <x v="3"/>
    <x v="0"/>
    <n v="45"/>
    <d v="2021-11-04T19:03:13"/>
    <x v="0"/>
    <x v="0"/>
  </r>
  <r>
    <x v="44"/>
    <x v="12"/>
    <x v="2"/>
    <x v="35"/>
    <s v="https://images.thdstatic.com/productImages/4fc08b20-5e50-49c6-a1c5-33fdd0bcc5de/svn/hillman-machine-screws-3302-64_600.jpg_x000a_https://images.thdstatic.com/productImages/4fc08b20-5e50-49c6-a1c5-33fdd0bcc5de/svn/hillman-machine-screws-3302-64_600.jpg"/>
    <x v="0"/>
    <x v="0"/>
    <s v="In Stock8-32 x 1 1/4&quot; Round Head: 385-251, $0.14"/>
    <x v="0"/>
    <s v="8-32 x 1 1/4&quot; Round Head 385-251"/>
    <x v="44"/>
    <x v="0"/>
    <x v="3"/>
    <x v="3"/>
    <x v="0"/>
    <n v="46"/>
    <d v="2021-11-04T19:04:10"/>
    <x v="0"/>
    <x v="0"/>
  </r>
  <r>
    <x v="45"/>
    <x v="26"/>
    <x v="2"/>
    <x v="36"/>
    <s v="https://m.media-amazon.com/images/I/61xtzk1bxgL._SL1500_.jpg_x000a_https://m.media-amazon.com/images/I/61xtzk1bxgL._SL1500_.jpg"/>
    <x v="0"/>
    <x v="0"/>
    <s v="In Stock8-32 x 1 1/2&quot; Round Head: 835-C39-1X, $0.16"/>
    <x v="0"/>
    <s v="8-32 x 1 1/2&quot; Round Head 835-C39-1X"/>
    <x v="45"/>
    <x v="0"/>
    <x v="3"/>
    <x v="3"/>
    <x v="0"/>
    <n v="47"/>
    <d v="2021-11-04T19:05:21"/>
    <x v="0"/>
    <x v="0"/>
  </r>
  <r>
    <x v="46"/>
    <x v="27"/>
    <x v="2"/>
    <x v="37"/>
    <s v="https://ae01.alicdn.com/kf/HTB1iLo4OVXXXXaiapXXq6xXFXXX3/100pcs-M3-washer-Stainless-Steel-Form-A-Flat-Washers-To-Fit-Metric-Bolt-Screws-Hardware.jpg_x000a_https://ae01.alicdn.com/kf/HTB1iLo4OVXXXXaiapXXq6xXFXXX3/100pcs-M3-washer-Stainless-Steel-Form-A-Flat-Washers-To-Fit-Metric-Bolt-Screws-Hardware.jpg"/>
    <x v="2"/>
    <x v="1"/>
    <s v="'Out of Stock'M3 Washers: M3, $0.02"/>
    <x v="0"/>
    <s v="M3 Washers M3"/>
    <x v="46"/>
    <x v="0"/>
    <x v="3"/>
    <x v="6"/>
    <x v="0"/>
    <n v="48"/>
    <d v="2021-11-04T19:06:45"/>
    <x v="0"/>
    <x v="0"/>
  </r>
  <r>
    <x v="47"/>
    <x v="28"/>
    <x v="6"/>
    <x v="38"/>
    <s v="https://homedepot.scene7.com/is/image/homedepotcanada/p_1000181346.jpg?wid=1000&amp;hei=1000&amp;op_sharpen=1_x000a_https://homedepot.scene7.com/is/image/homedepotcanada/p_1000181346.jpg?wid=1000&amp;hei=1000&amp;op_sharpen=1"/>
    <x v="0"/>
    <x v="0"/>
    <s v="In Stock10-32 x 1/2&quot; Round Head: 385-B02-1C, $0.18"/>
    <x v="0"/>
    <s v="10-32 x 1/2&quot; Round Head 385-B02-1C"/>
    <x v="47"/>
    <x v="3"/>
    <x v="3"/>
    <x v="3"/>
    <x v="0"/>
    <n v="49"/>
    <d v="2021-11-04T19:08:00"/>
    <x v="0"/>
    <x v="0"/>
  </r>
  <r>
    <x v="48"/>
    <x v="21"/>
    <x v="6"/>
    <x v="7"/>
    <s v="https://homedepot.scene7.com/is/image/homedepotcanada/p_1000181344.jpg?wid=1000&amp;hei=1000&amp;op_sharpen=1_x000a_https://homedepot.scene7.com/is/image/homedepotcanada/p_1000181344.jpg?wid=1000&amp;hei=1000&amp;op_sharpen=1"/>
    <x v="0"/>
    <x v="0"/>
    <s v="In Stock10-32 x 3/4&quot; Round Head: , $0.22"/>
    <x v="0"/>
    <s v="10-32 x 3/4&quot; Round Head "/>
    <x v="48"/>
    <x v="3"/>
    <x v="3"/>
    <x v="3"/>
    <x v="0"/>
    <n v="50"/>
    <d v="2021-11-04T19:09:05"/>
    <x v="0"/>
    <x v="0"/>
  </r>
  <r>
    <x v="49"/>
    <x v="8"/>
    <x v="2"/>
    <x v="39"/>
    <s v="https://homedepot.scene7.com/is/image/homedepotcanada/p_1000181346.jpg?wid=1000&amp;hei=1000&amp;op_sharpen=1_x000a_https://homedepot.scene7.com/is/image/homedepotcanada/p_1000181346.jpg?wid=1000&amp;hei=1000&amp;op_sharpen=1"/>
    <x v="0"/>
    <x v="0"/>
    <s v="In Stock10-32 x 1&quot; Round Head: 385-B33-2M, $0.12"/>
    <x v="0"/>
    <s v="10-32 x 1&quot; Round Head 385-B33-2M"/>
    <x v="49"/>
    <x v="0"/>
    <x v="3"/>
    <x v="3"/>
    <x v="0"/>
    <n v="51"/>
    <d v="2021-11-04T19:10:06"/>
    <x v="0"/>
    <x v="0"/>
  </r>
  <r>
    <x v="50"/>
    <x v="26"/>
    <x v="2"/>
    <x v="40"/>
    <s v="https://homedepot.scene7.com/is/image/homedepotcanada/p_1000181346.jpg?wid=1000&amp;hei=1000&amp;op_sharpen=1_x000a_https://homedepot.scene7.com/is/image/homedepotcanada/p_1000181346.jpg?wid=1000&amp;hei=1000&amp;op_sharpen=1"/>
    <x v="0"/>
    <x v="0"/>
    <s v="In Stock10-32 x 1 1/4&quot; Round Head: 385-116, $0.16"/>
    <x v="0"/>
    <s v="10-32 x 1 1/4&quot; Round Head 385-116"/>
    <x v="50"/>
    <x v="0"/>
    <x v="3"/>
    <x v="3"/>
    <x v="0"/>
    <n v="52"/>
    <d v="2021-11-04T19:11:17"/>
    <x v="0"/>
    <x v="0"/>
  </r>
  <r>
    <x v="51"/>
    <x v="29"/>
    <x v="2"/>
    <x v="7"/>
    <s v="https://www.conklinmetal.com/wp-content/uploads/2019/11/Perforated-Galvanized-Strap-e1616437463456.png_x000a_https://www.conklinmetal.com/wp-content/uploads/2019/11/Perforated-Galvanized-Strap-e1616437463456.png"/>
    <x v="2"/>
    <x v="1"/>
    <s v="'Out of Stock'Perforated Hanger Strap: , $1.48"/>
    <x v="0"/>
    <s v="Perforated Hanger Strap "/>
    <x v="51"/>
    <x v="0"/>
    <x v="3"/>
    <x v="1"/>
    <x v="1"/>
    <n v="53"/>
    <d v="2021-11-04T19:12:35"/>
    <x v="0"/>
    <x v="0"/>
  </r>
  <r>
    <x v="52"/>
    <x v="0"/>
    <x v="2"/>
    <x v="41"/>
    <s v="https://pim.wurth.ca/Product/34014.jpg_x000a_https://pim.wurth.ca/Product/34014.jpg"/>
    <x v="5"/>
    <x v="0"/>
    <s v="In StockHex Nut 6-32: B-1521, $0.05"/>
    <x v="0"/>
    <s v="Hex Nut 6-32 B-1521"/>
    <x v="52"/>
    <x v="0"/>
    <x v="3"/>
    <x v="4"/>
    <x v="0"/>
    <n v="54"/>
    <d v="2021-11-04T19:14:05"/>
    <x v="0"/>
    <x v="0"/>
  </r>
  <r>
    <x v="53"/>
    <x v="30"/>
    <x v="9"/>
    <x v="7"/>
    <s v="https://cdn11.bigcommerce.com/s-scmrv6kkrz/images/stencil/1280x1280/products/200916/174916/no-1-hex-nut-stainless-steel-50ef__91660.1568390679.jpg?c=2_x000a_https://cdn11.bigcommerce.com/s-scmrv6kkrz/images/stencil/1280x1280/products/200916/174916/no-1-hex-nut-stainless-steel-50ef__91660.1568390679.jpg?c=2"/>
    <x v="2"/>
    <x v="1"/>
    <s v="'Out of Stock'10-32 Hex Nut : , $0.04"/>
    <x v="0"/>
    <s v="10-32 Hex Nut  "/>
    <x v="53"/>
    <x v="3"/>
    <x v="3"/>
    <x v="4"/>
    <x v="2"/>
    <n v="55"/>
    <d v="2021-11-04T19:14:59"/>
    <x v="0"/>
    <x v="0"/>
  </r>
  <r>
    <x v="54"/>
    <x v="31"/>
    <x v="2"/>
    <x v="27"/>
    <s v="https://m.media-amazon.com/images/I/71zzBVtnSPL._SX342_.jpg_x000a_https://m.media-amazon.com/images/I/71zzBVtnSPL._SX342_.jpg"/>
    <x v="2"/>
    <x v="1"/>
    <s v="'Out of Stock'1/4-20 x 3/4&quot; Hex Bolt : 3/4&quot;, $0.17"/>
    <x v="0"/>
    <s v="1/4-20 x 3/4&quot; Hex Bolt  3/4&quot;"/>
    <x v="54"/>
    <x v="0"/>
    <x v="3"/>
    <x v="7"/>
    <x v="0"/>
    <n v="56"/>
    <d v="2021-11-04T19:16:49"/>
    <x v="0"/>
    <x v="0"/>
  </r>
  <r>
    <x v="55"/>
    <x v="32"/>
    <x v="2"/>
    <x v="42"/>
    <s v="http://cdn.shopify.com/s/files/1/1244/2390/products/hex-cap-screw_c3040ba3-bd08-4a51-bb3d-fafb6b9f51d1_grande.png?v=1557859384_x000a_http://cdn.shopify.com/s/files/1/1244/2390/products/hex-cap-screw_c3040ba3-bd08-4a51-bb3d-fafb6b9f51d1_grande.png?v=1557859384"/>
    <x v="2"/>
    <x v="1"/>
    <s v="'Out of Stock'1/4-20 x 2&quot; Hex Bolt : 2&quot;, $0.46"/>
    <x v="0"/>
    <s v="1/4-20 x 2&quot; Hex Bolt  2&quot;"/>
    <x v="55"/>
    <x v="0"/>
    <x v="3"/>
    <x v="7"/>
    <x v="0"/>
    <n v="57"/>
    <d v="2021-11-04T19:17:59"/>
    <x v="0"/>
    <x v="0"/>
  </r>
  <r>
    <x v="56"/>
    <x v="33"/>
    <x v="2"/>
    <x v="42"/>
    <s v="https://cdn.shopify.com/s/files/1/0974/6070/products/Grade_2_Hex_Bolt_Plain_Steel_2e34c303-4583-4ed3-8e2b-b152fdb48cc5_2048x.jpeg?v=1481146271_x000a_https://cdn.shopify.com/s/files/1/0974/6070/products/Grade_2_Hex_Bolt_Plain_Steel_2e34c303-4583-4ed3-8e2b-b152fdb48cc5_2048x.jpeg?v=1481146271"/>
    <x v="2"/>
    <x v="1"/>
    <s v="'Out of Stock'3/8-16 x 2&quot; Hex Bolt : 2&quot;, $0.93"/>
    <x v="0"/>
    <s v="3/8-16 x 2&quot; Hex Bolt  2&quot;"/>
    <x v="56"/>
    <x v="0"/>
    <x v="3"/>
    <x v="7"/>
    <x v="0"/>
    <n v="58"/>
    <d v="2021-11-04T19:25:31"/>
    <x v="0"/>
    <x v="0"/>
  </r>
  <r>
    <x v="57"/>
    <x v="34"/>
    <x v="2"/>
    <x v="43"/>
    <s v="https://cdn.shopify.com/s/files/1/0974/6070/products/Grade_2_Hex_Bolt_Plain_Steel_ec911976-fe7a-478a-816b-7213c3d7cd21_2048x.jpeg?v=1481146284_x000a_https://cdn.shopify.com/s/files/1/0974/6070/products/Grade_2_Hex_Bolt_Plain_Steel_ec911976-fe7a-478a-816b-7213c3d7cd21_2048x.jpeg?v=1481146284"/>
    <x v="2"/>
    <x v="1"/>
    <s v="'Out of Stock'3/8-16 x 3&quot; Hex Bolt : 3&quot;, $1.38"/>
    <x v="0"/>
    <s v="3/8-16 x 3&quot; Hex Bolt  3&quot;"/>
    <x v="57"/>
    <x v="0"/>
    <x v="3"/>
    <x v="7"/>
    <x v="0"/>
    <n v="59"/>
    <d v="2021-11-04T19:28:10"/>
    <x v="0"/>
    <x v="0"/>
  </r>
  <r>
    <x v="58"/>
    <x v="35"/>
    <x v="2"/>
    <x v="26"/>
    <s v="https://m.media-amazon.com/images/I/51YZZMBNP+L._SL1000_.jpg_x000a_https://m.media-amazon.com/images/I/51YZZMBNP+L._SL1000_.jpg"/>
    <x v="2"/>
    <x v="1"/>
    <s v="'Out of Stock'3/8-16 x 4&quot; Hex Bolt : 4&quot;, $2.06"/>
    <x v="0"/>
    <s v="3/8-16 x 4&quot; Hex Bolt  4&quot;"/>
    <x v="58"/>
    <x v="0"/>
    <x v="3"/>
    <x v="7"/>
    <x v="0"/>
    <n v="60"/>
    <d v="2021-11-04T19:29:59"/>
    <x v="0"/>
    <x v="0"/>
  </r>
  <r>
    <x v="59"/>
    <x v="36"/>
    <x v="2"/>
    <x v="44"/>
    <s v="https://cdn11.bigcommerce.com/s-1lji4r5cj2/images/stencil/1280x1280/products/737/1741/3-8-16-x-5-Inch-Stainless-Steel-Hex-Bolt__S_1__71967.1602273565.jpg?c=1_x000a_https://cdn11.bigcommerce.com/s-1lji4r5cj2/images/stencil/1280x1280/products/737/1741/3-8-16-x-5-Inch-Stainless-Steel-Hex-Bolt__S_1__71967.1602273565.jpg?c=1"/>
    <x v="2"/>
    <x v="1"/>
    <s v="'Out of Stock'3/8-16 x 5&quot; Hex Bolt : 5&quot;, $3.03"/>
    <x v="0"/>
    <s v="3/8-16 x 5&quot; Hex Bolt  5&quot;"/>
    <x v="59"/>
    <x v="0"/>
    <x v="3"/>
    <x v="7"/>
    <x v="0"/>
    <n v="61"/>
    <d v="2021-11-04T19:31:24"/>
    <x v="0"/>
    <x v="0"/>
  </r>
  <r>
    <x v="60"/>
    <x v="10"/>
    <x v="2"/>
    <x v="45"/>
    <s v="https://cdn11.bigcommerce.com/s-hlsk6yq0/images/stencil/1280x1280/products/281983/1247383/item-phil-round-ms-zp__54435.1539220347.jpg?c=2_x000a_https://cdn11.bigcommerce.com/s-hlsk6yq0/images/stencil/1280x1280/products/281983/1247383/item-phil-round-ms-zp__54435.1539220347.jpg?c=2"/>
    <x v="5"/>
    <x v="0"/>
    <s v="In Stock10-24 x 1/2&quot; Round Head: 385-B26-1C, $0.07"/>
    <x v="0"/>
    <s v="10-24 x 1/2&quot; Round Head 385-B26-1C"/>
    <x v="60"/>
    <x v="0"/>
    <x v="3"/>
    <x v="3"/>
    <x v="0"/>
    <n v="62"/>
    <d v="2021-11-04T19:33:37"/>
    <x v="0"/>
    <x v="0"/>
  </r>
  <r>
    <x v="61"/>
    <x v="22"/>
    <x v="6"/>
    <x v="46"/>
    <s v="https://images.thdstatic.com/productImages/40897193-9ec9-423c-968e-5d0b8e8e6101/svn/prime-line-socket-head-cap-screws-9169344-64_600.jpg_x000a_https://images.thdstatic.com/productImages/40897193-9ec9-423c-968e-5d0b8e8e6101/svn/prime-line-socket-head-cap-screws-9169344-64_600.jpg"/>
    <x v="2"/>
    <x v="1"/>
    <s v="'Out of Stock'10-24 x 1 1/4&quot; Round Head: 1 1/4&quot;, $0.19"/>
    <x v="0"/>
    <s v="10-24 x 1 1/4&quot; Round Head 1 1/4&quot;"/>
    <x v="61"/>
    <x v="3"/>
    <x v="3"/>
    <x v="3"/>
    <x v="0"/>
    <n v="63"/>
    <d v="2021-11-04T19:35:17"/>
    <x v="0"/>
    <x v="0"/>
  </r>
  <r>
    <x v="62"/>
    <x v="26"/>
    <x v="2"/>
    <x v="47"/>
    <s v="https://i.ebayimg.com/images/g/LUMAAOSwy~BaE3rP/s-l400.jpg_x000a_https://i.ebayimg.com/images/g/LUMAAOSwy~BaE3rP/s-l400.jpg"/>
    <x v="0"/>
    <x v="0"/>
    <s v="In Stock1/4-20 x 1/2&quot; Round Head: 385-210, $0.16"/>
    <x v="0"/>
    <s v="1/4-20 x 1/2&quot; Round Head 385-210"/>
    <x v="62"/>
    <x v="0"/>
    <x v="3"/>
    <x v="3"/>
    <x v="0"/>
    <n v="64"/>
    <d v="2021-11-04T19:37:01"/>
    <x v="0"/>
    <x v="0"/>
  </r>
  <r>
    <x v="63"/>
    <x v="26"/>
    <x v="2"/>
    <x v="48"/>
    <s v="https://m.media-amazon.com/images/I/31bjpWBv4ML._AC_SX355_.jpg_x000a_https://m.media-amazon.com/images/I/31bjpWBv4ML._AC_SX355_.jpg"/>
    <x v="0"/>
    <x v="0"/>
    <s v="In Stock1/4-20 x 3/4&quot; Round Head: 385-C28-1A, $0.16"/>
    <x v="0"/>
    <s v="1/4-20 x 3/4&quot; Round Head 385-C28-1A"/>
    <x v="63"/>
    <x v="0"/>
    <x v="3"/>
    <x v="3"/>
    <x v="0"/>
    <n v="65"/>
    <d v="2021-11-04T19:38:31"/>
    <x v="0"/>
    <x v="0"/>
  </r>
  <r>
    <x v="64"/>
    <x v="26"/>
    <x v="2"/>
    <x v="49"/>
    <s v="https://i.ebayimg.com/images/g/0AUAAOSw51xbW4Bh/s-l400.jpg_x000a_https://i.ebayimg.com/images/g/0AUAAOSw51xbW4Bh/s-l400.jpg"/>
    <x v="0"/>
    <x v="0"/>
    <s v="In Stock1/4-20 x 1&quot; Round Head: 385-209, $0.16"/>
    <x v="0"/>
    <s v="1/4-20 x 1&quot; Round Head 385-209"/>
    <x v="64"/>
    <x v="0"/>
    <x v="3"/>
    <x v="3"/>
    <x v="0"/>
    <n v="66"/>
    <d v="2021-11-04T19:39:38"/>
    <x v="0"/>
    <x v="0"/>
  </r>
  <r>
    <x v="65"/>
    <x v="23"/>
    <x v="2"/>
    <x v="50"/>
    <s v="https://m.media-amazon.com/images/I/31cusPrx-qL._AC_.jpg_x000a_https://m.media-amazon.com/images/I/31cusPrx-qL._AC_.jpg"/>
    <x v="0"/>
    <x v="0"/>
    <s v="In Stock1/4-20 x 1 1/2&quot; Round Head: 385-B38-1C, $0.21"/>
    <x v="0"/>
    <s v="1/4-20 x 1 1/2&quot; Round Head 385-B38-1C"/>
    <x v="65"/>
    <x v="0"/>
    <x v="3"/>
    <x v="3"/>
    <x v="0"/>
    <n v="67"/>
    <d v="2021-11-04T19:41:22"/>
    <x v="0"/>
    <x v="0"/>
  </r>
  <r>
    <x v="66"/>
    <x v="37"/>
    <x v="2"/>
    <x v="43"/>
    <s v="https://img3.fastenal.com/infp360pmm/derivates/3/001/877/28902.jpg_x000a_https://img3.fastenal.com/infp360pmm/derivates/3/001/877/28902.jpg"/>
    <x v="2"/>
    <x v="6"/>
    <s v="-1/4-20 x 3&quot; Round Head: 3&quot;, $1.9"/>
    <x v="0"/>
    <s v="1/4-20 x 3&quot; Round Head 3&quot;"/>
    <x v="66"/>
    <x v="0"/>
    <x v="3"/>
    <x v="3"/>
    <x v="2"/>
    <n v="68"/>
    <d v="2021-11-04T19:42:30"/>
    <x v="0"/>
    <x v="0"/>
  </r>
  <r>
    <x v="67"/>
    <x v="27"/>
    <x v="2"/>
    <x v="51"/>
    <s v="https://images.thdstatic.com/productImages/7098d4c6-8a50-4cd2-84ab-2956da19a4d7/svn/grip-rite-specialty-nails-10hgstpd1-64_1000.jpg_x000a_https://images.thdstatic.com/productImages/7098d4c6-8a50-4cd2-84ab-2956da19a4d7/svn/grip-rite-specialty-nails-10hgstpd1-64_1000.jpg"/>
    <x v="2"/>
    <x v="1"/>
    <s v="'Out of Stock'Spiral Deck Nails: 2 1/2&quot;, $0.02"/>
    <x v="0"/>
    <s v="Spiral Deck Nails 2 1/2&quot;"/>
    <x v="67"/>
    <x v="0"/>
    <x v="3"/>
    <x v="1"/>
    <x v="1"/>
    <n v="69"/>
    <d v="2021-11-04T19:43:30"/>
    <x v="0"/>
    <x v="0"/>
  </r>
  <r>
    <x v="68"/>
    <x v="38"/>
    <x v="2"/>
    <x v="52"/>
    <s v="https://www.madduxlumber.com/sm/product/5370/375304.jpg_x000a_https://www.madduxlumber.com/sm/product/5370/375304.jpg"/>
    <x v="2"/>
    <x v="1"/>
    <s v="'Out of Stock'3/16 x 2 1/4&quot; Tapper Screws: 2 1/4&quot;, $0.58"/>
    <x v="0"/>
    <s v="3/16 x 2 1/4&quot; Tapper Screws 2 1/4&quot;"/>
    <x v="68"/>
    <x v="0"/>
    <x v="3"/>
    <x v="1"/>
    <x v="1"/>
    <n v="70"/>
    <d v="2021-11-04T19:45:57"/>
    <x v="0"/>
    <x v="0"/>
  </r>
  <r>
    <x v="69"/>
    <x v="39"/>
    <x v="2"/>
    <x v="53"/>
    <s v="https://envisionoutdoorliving.com/wp-content/uploads/elementor/thumbs/evergrain-envision-composite-deck-screws-piled-v2-1-p3g13ps0c7rwb0cmks6el0i8nvrdtof0x48q4gveyy.png_x000a_https://envisionoutdoorliving.com/wp-content/uploads/elementor/thumbs/evergrain-envision-composite-deck-screws-piled-v2-1-p3g13ps0c7rwb0cmks6el0i8nvrdtof0x48q4gveyy.png"/>
    <x v="2"/>
    <x v="1"/>
    <s v="'Out of Stock'1 3/4&quot; Deck Screw: 1 3/4&quot;, $"/>
    <x v="0"/>
    <s v="1 3/4&quot; Deck Screw 1 3/4&quot;"/>
    <x v="69"/>
    <x v="0"/>
    <x v="3"/>
    <x v="1"/>
    <x v="1"/>
    <n v="71"/>
    <d v="2021-11-04T19:52:13"/>
    <x v="0"/>
    <x v="0"/>
  </r>
  <r>
    <x v="70"/>
    <x v="11"/>
    <x v="2"/>
    <x v="28"/>
    <s v="https://img4.fastenal.com/infp360pmm/derivates/3/001/227/444/0148425.jpg_x000a_https://img4.fastenal.com/infp360pmm/derivates/3/001/227/444/0148425.jpg"/>
    <x v="2"/>
    <x v="1"/>
    <s v="'Out of Stock'1&quot; Self Tapping Flat Head: 1&quot;, $0.15"/>
    <x v="0"/>
    <s v="1&quot; Self Tapping Flat Head 1&quot;"/>
    <x v="70"/>
    <x v="0"/>
    <x v="3"/>
    <x v="1"/>
    <x v="1"/>
    <n v="72"/>
    <d v="2021-11-04T19:54:49"/>
    <x v="0"/>
    <x v="0"/>
  </r>
  <r>
    <x v="71"/>
    <x v="40"/>
    <x v="2"/>
    <x v="28"/>
    <s v="https://mobileimages.lowes.com/productimages/472caaeb-7fb3-4017-81db-20c1be24df8c/05129329.jpg?size=pdhi_x000a_https://mobileimages.lowes.com/productimages/472caaeb-7fb3-4017-81db-20c1be24df8c/05129329.jpg?size=pdhi"/>
    <x v="2"/>
    <x v="1"/>
    <s v="'Out of Stock'Roofing Nails: 1&quot;, $0.03"/>
    <x v="0"/>
    <s v="Roofing Nails 1&quot;"/>
    <x v="71"/>
    <x v="0"/>
    <x v="3"/>
    <x v="1"/>
    <x v="1"/>
    <n v="73"/>
    <d v="2021-11-04T19:56:50"/>
    <x v="0"/>
    <x v="0"/>
  </r>
  <r>
    <x v="72"/>
    <x v="30"/>
    <x v="9"/>
    <x v="54"/>
    <s v="https://www.alstapingtools.com/pub/media/catalog/product/cache/8790ca8e2660b73e6e2b1fdcdd9b3dd2/image/480f417/806827-10-24-hex-nut.jpg_x000a_https://www.alstapingtools.com/pub/media/catalog/product/cache/8790ca8e2660b73e6e2b1fdcdd9b3dd2/image/480f417/806827-10-24-hex-nut.jpg"/>
    <x v="2"/>
    <x v="1"/>
    <s v="'Out of Stock'10-24 Hex Nut: 155-PO8-1T, $0.04"/>
    <x v="0"/>
    <s v="10-24 Hex Nut 155-PO8-1T"/>
    <x v="72"/>
    <x v="3"/>
    <x v="3"/>
    <x v="4"/>
    <x v="0"/>
    <n v="74"/>
    <d v="2021-11-04T19:59:35"/>
    <x v="0"/>
    <x v="0"/>
  </r>
  <r>
    <x v="73"/>
    <x v="0"/>
    <x v="2"/>
    <x v="55"/>
    <s v="https://m.media-amazon.com/images/I/71gD2939pLL._AC_SL1500_.jpg_x000a_https://m.media-amazon.com/images/I/71gD2939pLL._AC_SL1500_.jpg"/>
    <x v="5"/>
    <x v="0"/>
    <s v="In StockHex Nut 1/4-20 : 155-P06-1C, $0.05"/>
    <x v="0"/>
    <s v="Hex Nut 1/4-20  155-P06-1C"/>
    <x v="73"/>
    <x v="0"/>
    <x v="3"/>
    <x v="4"/>
    <x v="0"/>
    <n v="75"/>
    <d v="2021-11-04T20:01:42"/>
    <x v="0"/>
    <x v="0"/>
  </r>
  <r>
    <x v="74"/>
    <x v="41"/>
    <x v="2"/>
    <x v="56"/>
    <s v="https://img2.fastenal.com/infp360pmm/derivates/3/001/233/487/36409.jpg_x000a_https://img2.fastenal.com/infp360pmm/derivates/3/001/233/487/36409.jpg"/>
    <x v="2"/>
    <x v="1"/>
    <s v="'Out of Stock'3/8-16 Hex Nut: 3/8&quot;, $0.36"/>
    <x v="0"/>
    <s v="3/8-16 Hex Nut 3/8&quot;"/>
    <x v="74"/>
    <x v="0"/>
    <x v="4"/>
    <x v="4"/>
    <x v="0"/>
    <n v="76"/>
    <d v="2021-11-06T10:40:04"/>
    <x v="0"/>
    <x v="0"/>
  </r>
  <r>
    <x v="75"/>
    <x v="10"/>
    <x v="10"/>
    <x v="57"/>
    <s v="https://m.media-amazon.com/images/I/61IX854Zt9L._SL1500_.jpg_x000a_https://m.media-amazon.com/images/I/61IX854Zt9L._SL1500_.jpg"/>
    <x v="2"/>
    <x v="1"/>
    <s v="'Out of Stock'1/4-20 Washer: 1/4&quot;, $0.07"/>
    <x v="0"/>
    <s v="1/4-20 Washer 1/4&quot;"/>
    <x v="75"/>
    <x v="3"/>
    <x v="4"/>
    <x v="6"/>
    <x v="0"/>
    <n v="77"/>
    <d v="2021-11-06T10:42:02"/>
    <x v="0"/>
    <x v="0"/>
  </r>
  <r>
    <x v="76"/>
    <x v="17"/>
    <x v="2"/>
    <x v="57"/>
    <s v="https://images.thdstatic.com/productImages/c601f9b0-8e0a-4827-8aaf-7787505e30ed/svn/lock-washers-261252-4f_600.jpg_x000a_https://images.thdstatic.com/productImages/c601f9b0-8e0a-4827-8aaf-7787505e30ed/svn/lock-washers-261252-4f_600.jpg"/>
    <x v="2"/>
    <x v="1"/>
    <s v="'Out of Stock'1/4-20 Split Washer: 1/4&quot;, $0.06"/>
    <x v="0"/>
    <s v="1/4-20 Split Washer 1/4&quot;"/>
    <x v="76"/>
    <x v="0"/>
    <x v="4"/>
    <x v="6"/>
    <x v="0"/>
    <n v="78"/>
    <d v="2021-11-06T10:43:29"/>
    <x v="0"/>
    <x v="0"/>
  </r>
  <r>
    <x v="77"/>
    <x v="25"/>
    <x v="2"/>
    <x v="56"/>
    <s v="https://homedepot.scene7.com/is/image/homedepotcanada/p_1000144562.jpg?wid=1000&amp;hei=1000&amp;op_sharpen=1_x000a_https://homedepot.scene7.com/is/image/homedepotcanada/p_1000144562.jpg?wid=1000&amp;hei=1000&amp;op_sharpen=1"/>
    <x v="2"/>
    <x v="1"/>
    <s v="'Out of Stock'3/8-16 Washer: 3/8&quot;, $0.13"/>
    <x v="0"/>
    <s v="3/8-16 Washer 3/8&quot;"/>
    <x v="77"/>
    <x v="0"/>
    <x v="4"/>
    <x v="6"/>
    <x v="0"/>
    <n v="79"/>
    <d v="2021-11-06T10:44:35"/>
    <x v="0"/>
    <x v="0"/>
  </r>
  <r>
    <x v="78"/>
    <x v="18"/>
    <x v="2"/>
    <x v="56"/>
    <s v="https://img0.fastenal.com/infp360pmm/derivates/3/001/304/585/33669.jpg_x000a_https://img0.fastenal.com/infp360pmm/derivates/3/001/304/585/33669.jpg"/>
    <x v="2"/>
    <x v="1"/>
    <s v="'Out of Stock'3/8-16 Split Washer: 3/8&quot;, $0.1"/>
    <x v="0"/>
    <s v="3/8-16 Split Washer 3/8&quot;"/>
    <x v="78"/>
    <x v="0"/>
    <x v="4"/>
    <x v="6"/>
    <x v="0"/>
    <n v="80"/>
    <d v="2021-11-06T10:45:42"/>
    <x v="0"/>
    <x v="0"/>
  </r>
  <r>
    <x v="79"/>
    <x v="42"/>
    <x v="2"/>
    <x v="57"/>
    <s v="https://m.media-amazon.com/images/I/71LMU3GtCgL._AC_SX355_.jpg_x000a_https://m.media-amazon.com/images/I/71LMU3GtCgL._AC_SX355_.jpg"/>
    <x v="2"/>
    <x v="1"/>
    <s v="'Out of Stock'1/4 Rivets: 1/4&quot;, $0.54"/>
    <x v="0"/>
    <s v="1/4 Rivets 1/4&quot;"/>
    <x v="79"/>
    <x v="0"/>
    <x v="4"/>
    <x v="8"/>
    <x v="0"/>
    <n v="81"/>
    <d v="2021-11-06T10:47:04"/>
    <x v="0"/>
    <x v="0"/>
  </r>
  <r>
    <x v="80"/>
    <x v="7"/>
    <x v="2"/>
    <x v="58"/>
    <s v="https://i.ebayimg.com/images/g/ZOoAAOSwFe5Xxtuk/s-l300.jpg_x000a_https://i.ebayimg.com/images/g/ZOoAAOSwFe5Xxtuk/s-l300.jpg"/>
    <x v="2"/>
    <x v="1"/>
    <s v="'Out of Stock'3/32 Rivets: 3/32&quot;, $0.09"/>
    <x v="0"/>
    <s v="3/32 Rivets 3/32&quot;"/>
    <x v="80"/>
    <x v="0"/>
    <x v="4"/>
    <x v="8"/>
    <x v="0"/>
    <n v="82"/>
    <d v="2021-11-06T10:48:44"/>
    <x v="0"/>
    <x v="0"/>
  </r>
  <r>
    <x v="81"/>
    <x v="27"/>
    <x v="2"/>
    <x v="59"/>
    <s v="https://m.media-amazon.com/images/I/71LMU3GtCgL._SX425_.jpg_x000a_https://m.media-amazon.com/images/I/71LMU3GtCgL._SX425_.jpg"/>
    <x v="2"/>
    <x v="1"/>
    <s v="'Out of Stock'1/8 Rivets: 1/8&quot;, $0.02"/>
    <x v="0"/>
    <s v="1/8 Rivets 1/8&quot;"/>
    <x v="81"/>
    <x v="0"/>
    <x v="4"/>
    <x v="8"/>
    <x v="0"/>
    <n v="83"/>
    <d v="2021-11-06T10:52:16"/>
    <x v="0"/>
    <x v="0"/>
  </r>
  <r>
    <x v="82"/>
    <x v="9"/>
    <x v="2"/>
    <x v="60"/>
    <s v="https://www.albanycountyfasteners.com/mm5/graphics/00000001/open-end-blind-pop-rivets-aluminum-1-resize-min.jpg_x000a_https://www.albanycountyfasteners.com/mm5/graphics/00000001/open-end-blind-pop-rivets-aluminum-1-resize-min.jpg"/>
    <x v="2"/>
    <x v="1"/>
    <s v="'Out of Stock'5/32 Rivets: 5/32&quot;, $0.11"/>
    <x v="0"/>
    <s v="5/32 Rivets 5/32&quot;"/>
    <x v="82"/>
    <x v="0"/>
    <x v="4"/>
    <x v="8"/>
    <x v="0"/>
    <n v="84"/>
    <d v="2021-11-06T10:54:02"/>
    <x v="0"/>
    <x v="0"/>
  </r>
  <r>
    <x v="83"/>
    <x v="26"/>
    <x v="2"/>
    <x v="61"/>
    <s v="https://cdn.rona.ca/images/0012067_L.jpg_x000a_https://cdn.rona.ca/images/0012067_L.jpg"/>
    <x v="2"/>
    <x v="1"/>
    <s v="'Out of Stock'3/16 Rivets: 3/16&quot;, $0.16"/>
    <x v="0"/>
    <s v="3/16 Rivets 3/16&quot;"/>
    <x v="83"/>
    <x v="0"/>
    <x v="4"/>
    <x v="8"/>
    <x v="0"/>
    <n v="85"/>
    <d v="2021-11-06T10:55:12"/>
    <x v="0"/>
    <x v="0"/>
  </r>
  <r>
    <x v="84"/>
    <x v="39"/>
    <x v="2"/>
    <x v="7"/>
    <s v="https://www.pcboard.ca/image/cache/catalog/products/fasteners/Pan-Head-Screws-800x800.jpg_x000a_https://www.pcboard.ca/image/cache/catalog/products/fasteners/Pan-Head-Screws-800x800.jpg"/>
    <x v="2"/>
    <x v="1"/>
    <s v="'Out of Stock'M1.6: , $"/>
    <x v="0"/>
    <s v="M1.6 "/>
    <x v="84"/>
    <x v="0"/>
    <x v="5"/>
    <x v="3"/>
    <x v="1"/>
    <n v="86"/>
    <d v="2021-11-07T10:46:01"/>
    <x v="0"/>
    <x v="0"/>
  </r>
  <r>
    <x v="85"/>
    <x v="13"/>
    <x v="2"/>
    <x v="7"/>
    <s v="https://www.sherline.com/wp-content/uploads/2018/02/43190.png_x000a_https://www.sherline.com/wp-content/uploads/2018/02/43190.png"/>
    <x v="2"/>
    <x v="1"/>
    <s v="'Out of Stock'M1.6 Hex Nut: , $0.25"/>
    <x v="0"/>
    <s v="M1.6 Hex Nut "/>
    <x v="85"/>
    <x v="0"/>
    <x v="5"/>
    <x v="4"/>
    <x v="1"/>
    <n v="87"/>
    <d v="2021-11-07T10:46:52"/>
    <x v="0"/>
    <x v="0"/>
  </r>
  <r>
    <x v="86"/>
    <x v="23"/>
    <x v="2"/>
    <x v="7"/>
    <s v="https://www.albanycountyfasteners.com/mm5/graphics/00000001/flat-socket-cap-screws-18-8-stainless-steel-1-resize-min_300x300.jpg_x000a_https://www.albanycountyfasteners.com/mm5/graphics/00000001/flat-socket-cap-screws-18-8-stainless-steel-1-resize-min_300x300.jpg"/>
    <x v="2"/>
    <x v="1"/>
    <s v="'Out of Stock'M3 Flat Head Socket Head: , $0.21"/>
    <x v="0"/>
    <s v="M3 Flat Head Socket Head "/>
    <x v="86"/>
    <x v="0"/>
    <x v="5"/>
    <x v="7"/>
    <x v="1"/>
    <n v="88"/>
    <d v="2021-11-07T10:49:11"/>
    <x v="0"/>
    <x v="0"/>
  </r>
  <r>
    <x v="87"/>
    <x v="13"/>
    <x v="2"/>
    <x v="43"/>
    <s v="https://www.sherline.com/wp-content/uploads/2018/02/43190.png_x000a_https://www.sherline.com/wp-content/uploads/2018/02/43190.png"/>
    <x v="2"/>
    <x v="1"/>
    <s v="'Out of Stock'8 x 3&quot; Flat Head: 3&quot;, $0.25"/>
    <x v="0"/>
    <s v="8 x 3&quot; Flat Head 3&quot;"/>
    <x v="87"/>
    <x v="4"/>
    <x v="5"/>
    <x v="5"/>
    <x v="0"/>
    <n v="89"/>
    <d v="2021-11-07T11:42:05"/>
    <x v="0"/>
    <x v="0"/>
  </r>
  <r>
    <x v="88"/>
    <x v="17"/>
    <x v="2"/>
    <x v="62"/>
    <s v="https://homedepot.scene7.com/is/image/homedepotcanada/p_1000128997.jpg?wid=1000&amp;hei=1000&amp;op_sharpen=1_x000a_https://homedepot.scene7.com/is/image/homedepotcanada/p_1000128997.jpg?wid=1000&amp;hei=1000&amp;op_sharpen=1"/>
    <x v="2"/>
    <x v="1"/>
    <s v="'Out of Stock'8-32 Hex Nut: 8/32&quot; 155-P05-1Y, $0.06"/>
    <x v="0"/>
    <s v="8-32 Hex Nut 8/32&quot; 155-P05-1Y"/>
    <x v="88"/>
    <x v="0"/>
    <x v="0"/>
    <x v="4"/>
    <x v="0"/>
    <n v="91"/>
    <d v="2021-11-13T13:04:44"/>
    <x v="0"/>
    <x v="0"/>
  </r>
  <r>
    <x v="89"/>
    <x v="7"/>
    <x v="2"/>
    <x v="37"/>
    <s v="https://img4.fastenal.com/infp360pmm/derivates/3/001/137/094/11505674.jpg_x000a_https://img4.fastenal.com/infp360pmm/derivates/3/001/137/094/11505674.jpg"/>
    <x v="2"/>
    <x v="4"/>
    <s v="3M3 Locknut: M3, $0.09"/>
    <x v="0"/>
    <s v="M3 Locknut M3"/>
    <x v="89"/>
    <x v="0"/>
    <x v="0"/>
    <x v="4"/>
    <x v="0"/>
    <n v="92"/>
    <d v="2021-11-13T13:13:34"/>
    <x v="0"/>
    <x v="0"/>
  </r>
  <r>
    <x v="90"/>
    <x v="39"/>
    <x v="2"/>
    <x v="37"/>
    <s v="https://ae01.alicdn.com/kf/HTB1g_fJah9YBuNjy0Ffq6xIsVXac/100pcs-ISO7380-304-stainless-steel-m3-5-M3x5-hexagon-button-head-screws-Allen-socket-round-head.jpg_Q90.jpg_.webp_x000a_https://ae01.alicdn.com/kf/HTB1g_fJah9YBuNjy0Ffq6xIsVXac/100pcs-ISO7380-304-stainless-steel-m3-5-M3x5-hexagon-button-head-screws-Allen-socket-round-head.jpg_Q90.jpg_.webp"/>
    <x v="2"/>
    <x v="1"/>
    <s v="'Out of Stock'M3*5 socket: M3, $"/>
    <x v="0"/>
    <s v="M3*5 socket M3"/>
    <x v="90"/>
    <x v="0"/>
    <x v="0"/>
    <x v="9"/>
    <x v="0"/>
    <n v="93"/>
    <d v="2021-11-13T13:16:47"/>
    <x v="0"/>
    <x v="0"/>
  </r>
  <r>
    <x v="91"/>
    <x v="27"/>
    <x v="11"/>
    <x v="7"/>
    <s v="https://sc04.alicdn.com/kf/H0d5f214df6694868b77e4acc978c962bZ.jpg_Q55.jpg_x000a_https://sc04.alicdn.com/kf/H0d5f214df6694868b77e4acc978c962bZ.jpg_Q55.jpg"/>
    <x v="5"/>
    <x v="2"/>
    <s v="'In Stock'M3 split washer: , $0.02"/>
    <x v="0"/>
    <s v="M3 split washer "/>
    <x v="91"/>
    <x v="0"/>
    <x v="6"/>
    <x v="6"/>
    <x v="0"/>
    <n v="94"/>
    <d v="2021-11-22T13:19:11"/>
    <x v="0"/>
    <x v="0"/>
  </r>
  <r>
    <x v="92"/>
    <x v="43"/>
    <x v="2"/>
    <x v="7"/>
    <m/>
    <x v="7"/>
    <x v="2"/>
    <s v="'In Stock'ESC204 Lab 1 kit: , $9.42"/>
    <x v="0"/>
    <s v="ESC204 Lab 1 kit "/>
    <x v="92"/>
    <x v="0"/>
    <x v="0"/>
    <x v="2"/>
    <x v="0"/>
    <n v="95"/>
    <d v="2022-01-10T09:44:31"/>
    <x v="0"/>
    <x v="0"/>
  </r>
  <r>
    <x v="93"/>
    <x v="44"/>
    <x v="2"/>
    <x v="7"/>
    <m/>
    <x v="8"/>
    <x v="5"/>
    <s v="ESC204 Lab2 kit: , $23.87"/>
    <x v="0"/>
    <s v="ESC204 Lab2 kit "/>
    <x v="93"/>
    <x v="1"/>
    <x v="0"/>
    <x v="2"/>
    <x v="0"/>
    <n v="96"/>
    <d v="2022-02-01T15:12:15"/>
    <x v="0"/>
    <x v="0"/>
  </r>
  <r>
    <x v="94"/>
    <x v="45"/>
    <x v="12"/>
    <x v="7"/>
    <s v="https://cdn11.bigcommerce.com/s-tnsp6i3ma6/images/stencil/original/products/5727/10272/535222_1__53272.1625081339.jpg?c=2_x000a_https://cdn11.bigcommerce.com/s-tnsp6i3ma6/images/stencil/original/products/5727/10272/535222_1__53272.1625081339.jpg?c=2"/>
    <x v="2"/>
    <x v="6"/>
    <s v="-Ball Bearing (8mm ID x 12mm OD, 4mm Thickness) - 2 Pack: , $4.97"/>
    <x v="0"/>
    <s v="Ball Bearing (8mm ID x 12mm OD, 4mm Thickness) - 2 Pack "/>
    <x v="94"/>
    <x v="5"/>
    <x v="0"/>
    <x v="0"/>
    <x v="1"/>
    <n v="97"/>
    <d v="2022-02-17T14:09:15"/>
    <x v="0"/>
    <x v="0"/>
  </r>
  <r>
    <x v="95"/>
    <x v="46"/>
    <x v="13"/>
    <x v="7"/>
    <s v="https://cdn11.bigcommerce.com/s-tnsp6i3ma6/images/stencil/original/products/5171/10094/6031k17_turntable_600px__78081.1568244313.jpg?c=2_x000a_https://cdn11.bigcommerce.com/s-tnsp6i3ma6/images/stencil/original/products/5171/10094/6031k17_turntable_600px__78081.1568244313.jpg?c=2"/>
    <x v="2"/>
    <x v="6"/>
    <s v="-4&quot; Square Ball Bearing Turntable: , $9.2"/>
    <x v="0"/>
    <s v="4&quot; Square Ball Bearing Turntable "/>
    <x v="95"/>
    <x v="6"/>
    <x v="7"/>
    <x v="0"/>
    <x v="0"/>
    <n v="98"/>
    <d v="2022-02-18T14:43:05"/>
    <x v="0"/>
    <x v="0"/>
  </r>
  <r>
    <x v="96"/>
    <x v="47"/>
    <x v="14"/>
    <x v="63"/>
    <s v="https://cdn11.bigcommerce.com/s-tnsp6i3ma6/images/stencil/original/products/6196/19769/1612-0815-0024__91360.1582670016.jpg?c=2_x000a_https://cdn11.bigcommerce.com/s-tnsp6i3ma6/images/stencil/original/products/6196/19769/1612-0815-0024__91360.1582670016.jpg?c=2"/>
    <x v="2"/>
    <x v="6"/>
    <s v="-8mm ID x 24mm Length Linear Ball Bearings: https://www.servocity.com/8mm-id-x-24mm-length-linear-ball-bearings/, $7.47"/>
    <x v="0"/>
    <s v="8mm ID x 24mm Length Linear Ball Bearings https://www.servocity.com/8mm-id-x-24mm-length-linear-ball-bearings/"/>
    <x v="96"/>
    <x v="7"/>
    <x v="8"/>
    <x v="0"/>
    <x v="2"/>
    <n v="99"/>
    <d v="2022-02-23T13:30:19"/>
    <x v="0"/>
    <x v="0"/>
  </r>
  <r>
    <x v="97"/>
    <x v="48"/>
    <x v="15"/>
    <x v="64"/>
    <s v="https://cdn11.bigcommerce.com/s-tnsp6i3ma6/images/stencil/original/products/5560/9830/535218_1__92759.1625080279.jpg?c=2_x000a_https://cdn11.bigcommerce.com/s-tnsp6i3ma6/images/stencil/original/products/5560/9830/535218_1__92759.1625080279.jpg?c=2"/>
    <x v="2"/>
    <x v="3"/>
    <s v="Out of StockBall Bearing (5mm ID x 12mm OD, 4mm Thickness): https://www.servocity.com/5mm-id-x-12mm-od-flanged-ball-bearing-2-pack/, $5.68"/>
    <x v="0"/>
    <s v="Ball Bearing (5mm ID x 12mm OD, 4mm Thickness) https://www.servocity.com/5mm-id-x-12mm-od-flanged-ball-bearing-2-pack/"/>
    <x v="97"/>
    <x v="8"/>
    <x v="8"/>
    <x v="0"/>
    <x v="1"/>
    <n v="100"/>
    <d v="2022-02-23T16:50:43"/>
    <x v="0"/>
    <x v="0"/>
  </r>
  <r>
    <x v="98"/>
    <x v="49"/>
    <x v="2"/>
    <x v="65"/>
    <m/>
    <x v="9"/>
    <x v="6"/>
    <s v="-ESC204 Lab 3A kit (MECH) (x41): Mechatronics Kit, $16.54"/>
    <x v="0"/>
    <s v="ESC204 Lab 3A kit (MECH) (x41) Mechatronics Kit"/>
    <x v="98"/>
    <x v="0"/>
    <x v="0"/>
    <x v="2"/>
    <x v="2"/>
    <n v="101"/>
    <d v="2022-03-05T18:11:34"/>
    <x v="0"/>
    <x v="0"/>
  </r>
  <r>
    <x v="99"/>
    <x v="50"/>
    <x v="2"/>
    <x v="66"/>
    <m/>
    <x v="9"/>
    <x v="6"/>
    <s v="-ESC204 Lab 3B kit (IoT) (x41): Arduino Nano RP2040 for IoT, $9.73"/>
    <x v="0"/>
    <s v="ESC204 Lab 3B kit (IoT) (x41) Arduino Nano RP2040 for IoT"/>
    <x v="99"/>
    <x v="1"/>
    <x v="0"/>
    <x v="2"/>
    <x v="2"/>
    <n v="102"/>
    <d v="2022-03-05T18:12:56"/>
    <x v="0"/>
    <x v="0"/>
  </r>
  <r>
    <x v="100"/>
    <x v="39"/>
    <x v="2"/>
    <x v="7"/>
    <m/>
    <x v="2"/>
    <x v="6"/>
    <s v="-Caster ball 1&quot; : , $"/>
    <x v="0"/>
    <s v="Caster ball 1&quot;  "/>
    <x v="100"/>
    <x v="1"/>
    <x v="0"/>
    <x v="1"/>
    <x v="0"/>
    <n v="103"/>
    <d v="2022-05-17T10:36:20"/>
    <x v="0"/>
    <x v="0"/>
  </r>
  <r>
    <x v="101"/>
    <x v="39"/>
    <x v="2"/>
    <x v="7"/>
    <m/>
    <x v="2"/>
    <x v="6"/>
    <s v="-Caster ball 1/2&quot;: , $"/>
    <x v="0"/>
    <s v="Caster ball 1/2&quot; "/>
    <x v="101"/>
    <x v="1"/>
    <x v="0"/>
    <x v="1"/>
    <x v="0"/>
    <n v="104"/>
    <d v="2022-05-17T10:37:17"/>
    <x v="0"/>
    <x v="0"/>
  </r>
  <r>
    <x v="102"/>
    <x v="8"/>
    <x v="8"/>
    <x v="7"/>
    <s v="https://www.sherline.com/wp-content/uploads/2018/02/43190.png_x000a_https://www.sherline.com/wp-content/uploads/2018/02/43190.png"/>
    <x v="2"/>
    <x v="6"/>
    <s v="- 8 x 1/2&quot; Flat Head: , $0.12"/>
    <x v="0"/>
    <s v=" 8 x 1/2&quot; Flat Head "/>
    <x v="102"/>
    <x v="2"/>
    <x v="9"/>
    <x v="5"/>
    <x v="0"/>
    <n v="105"/>
    <d v="2022-08-10T14:16:44"/>
    <x v="0"/>
    <x v="0"/>
  </r>
  <r>
    <x v="103"/>
    <x v="40"/>
    <x v="10"/>
    <x v="7"/>
    <s v="https://images.thdstatic.com/productImages/8ff794a6-c87d-4bf3-8cef-f7844203fbc2/svn/everbilt-flat-washers-800452-64_300.jpg_x000a_https://images.thdstatic.com/productImages/8ff794a6-c87d-4bf3-8cef-f7844203fbc2/svn/everbilt-flat-washers-800452-64_300.jpg"/>
    <x v="2"/>
    <x v="6"/>
    <s v="-#6 washer: , $0.03"/>
    <x v="0"/>
    <s v="#6 washer "/>
    <x v="103"/>
    <x v="3"/>
    <x v="9"/>
    <x v="6"/>
    <x v="0"/>
    <n v="106"/>
    <d v="2022-08-10T16:12:09"/>
    <x v="0"/>
    <x v="0"/>
  </r>
  <r>
    <x v="104"/>
    <x v="30"/>
    <x v="10"/>
    <x v="7"/>
    <s v="https://images.thdstatic.com/productImages/8ff794a6-c87d-4bf3-8cef-f7844203fbc2/svn/everbilt-flat-washers-800452-64_300.jpg_x000a_https://images.thdstatic.com/productImages/8ff794a6-c87d-4bf3-8cef-f7844203fbc2/svn/everbilt-flat-washers-800452-64_300.jpg"/>
    <x v="2"/>
    <x v="6"/>
    <s v="-#8 washer: , $0.04"/>
    <x v="0"/>
    <s v="#8 washer "/>
    <x v="104"/>
    <x v="3"/>
    <x v="9"/>
    <x v="6"/>
    <x v="0"/>
    <n v="107"/>
    <d v="2022-08-10T16:15:25"/>
    <x v="0"/>
    <x v="0"/>
  </r>
  <r>
    <x v="105"/>
    <x v="51"/>
    <x v="2"/>
    <x v="67"/>
    <s v="https://utoronto.sharepoint.com/:i:/s/fase-myhalfabrication/EQFabCHQlBdGqgAFKIN_LdoBLewz8dgmG7V8RVD4mK55Tw?e=fHwES3_x000a_https://utoronto.sharepoint.com/:i:/s/fase-myhalfabrication/EQFabCHQlBdGqgAFKIN_LdoBLewz8dgmG7V8RVD4mK55Tw?e=fHwES3"/>
    <x v="2"/>
    <x v="6"/>
    <s v="-ESP I - Measuring tape 30m: Rental - Return to MYFab, $99.99"/>
    <x v="0"/>
    <s v="ESP I - Measuring tape 30m Rental - Return to MYFab"/>
    <x v="105"/>
    <x v="1"/>
    <x v="0"/>
    <x v="2"/>
    <x v="0"/>
    <n v="108"/>
    <d v="2022-09-14T12:38:27"/>
    <x v="0"/>
    <x v="0"/>
  </r>
  <r>
    <x v="106"/>
    <x v="51"/>
    <x v="2"/>
    <x v="67"/>
    <s v="https://utoronto.sharepoint.com/:i:/r/sites/fase-myhalfabrication/SharedUploads/thumbnail_Measuring%20Wheel.jpg?csf=1&amp;web=1&amp;e=DUFxje_x000a_https://utoronto.sharepoint.com/:i:/r/sites/fase-myhalfabrication/SharedUploads/thumbnail_Measuring%20Wheel.jpg?csf=1&amp;web=1&amp;e=DUFxje"/>
    <x v="2"/>
    <x v="6"/>
    <s v="-ESP I - Measuring wheel: Rental - Return to MYFab, $99.99"/>
    <x v="0"/>
    <s v="ESP I - Measuring wheel Rental - Return to MYFab"/>
    <x v="106"/>
    <x v="1"/>
    <x v="0"/>
    <x v="2"/>
    <x v="0"/>
    <n v="109"/>
    <d v="2022-09-14T12:39:19"/>
    <x v="0"/>
    <x v="0"/>
  </r>
  <r>
    <x v="107"/>
    <x v="24"/>
    <x v="2"/>
    <x v="7"/>
    <s v="https://static.grainger.com/rp/s/is/image/Grainger/4HYC9_AS01?$zmmain$_x000a_https://static.grainger.com/rp/s/is/image/Grainger/4HYC9_AS01?$zmmain$"/>
    <x v="2"/>
    <x v="6"/>
    <s v="-Pipe strap 3/4&quot;: , $0.75"/>
    <x v="0"/>
    <s v="Pipe strap 3/4&quot; "/>
    <x v="107"/>
    <x v="9"/>
    <x v="10"/>
    <x v="1"/>
    <x v="0"/>
    <n v="110"/>
    <d v="2022-09-28T18:01:53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">
  <r>
    <x v="0"/>
    <x v="0"/>
    <x v="0"/>
    <s v="https://i.ebayimg.com/images/g/kiAAAOSwr~lYsZH9/s-l300.jpg_x000a_"/>
    <s v="Birch Ply-Birch Ply 1/8&quot; x18&quot;x24&quot;. $2.61"/>
    <x v="0"/>
    <x v="0"/>
    <x v="0"/>
    <x v="0"/>
    <x v="0"/>
    <x v="0"/>
    <x v="0"/>
    <x v="0"/>
  </r>
  <r>
    <x v="1"/>
    <x v="1"/>
    <x v="1"/>
    <s v="https://images-na.ssl-images-amazon.com/images/I/71jCJuz-D7L._SX466_.jpg_x000a_"/>
    <s v="MDF* OUT OF STOCK -MDF 1/8&quot; x18&quot;x24&quot;. $1.85"/>
    <x v="0"/>
    <x v="0"/>
    <x v="1"/>
    <x v="0"/>
    <x v="0"/>
    <x v="0"/>
    <x v="0"/>
    <x v="0"/>
  </r>
  <r>
    <x v="2"/>
    <x v="2"/>
    <x v="2"/>
    <s v="https://www.plasticdepot.ca/uploads/1/2/6/3/126329102/s134353909877617773_p66_i1_w500.jpeg?width=1200_x000a_"/>
    <s v="Acrylic-Acrylic Black 1/8&quot; x18&quot;x24&quot;. $15.76"/>
    <x v="0"/>
    <x v="0"/>
    <x v="2"/>
    <x v="0"/>
    <x v="0"/>
    <x v="0"/>
    <x v="0"/>
    <x v="0"/>
  </r>
  <r>
    <x v="3"/>
    <x v="2"/>
    <x v="3"/>
    <s v="https://www.plasticdepot.ca/uploads/1/2/6/3/126329102/s134353909877617773_p66_i1_w500.jpeg?width=1200_x000a_"/>
    <s v="Acrylic-Acrylic Black 1/4&quot; x18&quot;x24&quot;. $31.52"/>
    <x v="0"/>
    <x v="0"/>
    <x v="3"/>
    <x v="0"/>
    <x v="0"/>
    <x v="0"/>
    <x v="0"/>
    <x v="0"/>
  </r>
  <r>
    <x v="4"/>
    <x v="2"/>
    <x v="2"/>
    <s v="https://images-na.ssl-images-amazon.com/images/I/51zgRwKEncL._AC_SL1120_.jpg_x000a_"/>
    <s v="Acrylic-Acrylic White 1/8&quot; x18&quot;x24&quot;. $15.76"/>
    <x v="0"/>
    <x v="0"/>
    <x v="4"/>
    <x v="0"/>
    <x v="0"/>
    <x v="0"/>
    <x v="0"/>
    <x v="0"/>
  </r>
  <r>
    <x v="5"/>
    <x v="2"/>
    <x v="3"/>
    <s v="https://images-na.ssl-images-amazon.com/images/I/51zgRwKEncL._AC_SL1120_.jpg_x000a_"/>
    <s v="Acrylic-Acrylic White 1/4&quot; x18&quot;x24&quot;. $31.52"/>
    <x v="0"/>
    <x v="0"/>
    <x v="5"/>
    <x v="0"/>
    <x v="0"/>
    <x v="0"/>
    <x v="0"/>
    <x v="0"/>
  </r>
  <r>
    <x v="6"/>
    <x v="2"/>
    <x v="4"/>
    <s v="https://encrypted-tbn0.gstatic.com/images?q=tbn:ANd9GcSYFvrDdgM4m0tS2HQeT1Af2tlIBb7u8wm1_oFmCBbS3jPAMWPD0A_x000a_"/>
    <s v="Acrylic-Acrylic Clear 1/16&quot; x18&quot;x24&quot;. $7.74"/>
    <x v="0"/>
    <x v="0"/>
    <x v="6"/>
    <x v="0"/>
    <x v="0"/>
    <x v="0"/>
    <x v="0"/>
    <x v="0"/>
  </r>
  <r>
    <x v="7"/>
    <x v="2"/>
    <x v="5"/>
    <s v="https://encrypted-tbn0.gstatic.com/images?q=tbn:ANd9GcSYFvrDdgM4m0tS2HQeT1Af2tlIBb7u8wm1_oFmCBbS3jPAMWPD0A_x000a_"/>
    <s v="Acrylic-Acrylic Clear 1/8&quot; x18&quot;x24&quot;. $14.18"/>
    <x v="0"/>
    <x v="0"/>
    <x v="7"/>
    <x v="0"/>
    <x v="0"/>
    <x v="0"/>
    <x v="0"/>
    <x v="0"/>
  </r>
  <r>
    <x v="8"/>
    <x v="2"/>
    <x v="6"/>
    <s v="https://encrypted-tbn0.gstatic.com/images?q=tbn:ANd9GcSYFvrDdgM4m0tS2HQeT1Af2tlIBb7u8wm1_oFmCBbS3jPAMWPD0A_x000a_"/>
    <s v="Acrylic-Acrylic Clear 1/4&quot; x18&quot;x24&quot;. $31.66"/>
    <x v="0"/>
    <x v="0"/>
    <x v="8"/>
    <x v="0"/>
    <x v="0"/>
    <x v="0"/>
    <x v="0"/>
    <x v="0"/>
  </r>
  <r>
    <x v="9"/>
    <x v="2"/>
    <x v="7"/>
    <s v="https://i.ebayimg.com/images/g/5R0AAOSw9IpX0R5x/s-l300.jpg_x000a_"/>
    <s v="Acrylic-Acrylic Frost 1/16&quot; x18&quot;x24&quot;. $12.89"/>
    <x v="0"/>
    <x v="0"/>
    <x v="9"/>
    <x v="0"/>
    <x v="0"/>
    <x v="0"/>
    <x v="0"/>
    <x v="0"/>
  </r>
  <r>
    <x v="10"/>
    <x v="2"/>
    <x v="2"/>
    <s v="https://i.ebayimg.com/images/g/5R0AAOSw9IpX0R5x/s-l300.jpg_x000a_"/>
    <s v="Acrylic-Acrylic Frost 1/8&quot; x18&quot;x24&quot;. $15.76"/>
    <x v="0"/>
    <x v="0"/>
    <x v="10"/>
    <x v="0"/>
    <x v="0"/>
    <x v="0"/>
    <x v="0"/>
    <x v="0"/>
  </r>
  <r>
    <x v="11"/>
    <x v="2"/>
    <x v="3"/>
    <s v="https://i.ebayimg.com/images/g/5R0AAOSw9IpX0R5x/s-l300.jpg_x000a_"/>
    <s v="Acrylic-Acrylic Frost 1/4&quot; x18&quot;x24&quot;. $31.52"/>
    <x v="0"/>
    <x v="0"/>
    <x v="11"/>
    <x v="0"/>
    <x v="0"/>
    <x v="0"/>
    <x v="0"/>
    <x v="0"/>
  </r>
  <r>
    <x v="12"/>
    <x v="0"/>
    <x v="8"/>
    <s v="https://i.ebayimg.com/images/g/kiAAAOSwr~lYsZH9/s-l300.jpg_x000a_"/>
    <s v="Birch Ply* LOW STOCK -Birch Ply 3/4&quot; x12&quot;x12&quot;. $3.05"/>
    <x v="1"/>
    <x v="0"/>
    <x v="12"/>
    <x v="0"/>
    <x v="1"/>
    <x v="0"/>
    <x v="0"/>
    <x v="0"/>
  </r>
  <r>
    <x v="13"/>
    <x v="0"/>
    <x v="9"/>
    <s v="https://i.ebayimg.com/images/g/kiAAAOSwr~lYsZH9/s-l300.jpg_x000a_"/>
    <s v="Birch Ply* LOW STOCK -Birch Ply 1/2&quot; x12&quot;x12&quot;. $1.97"/>
    <x v="1"/>
    <x v="0"/>
    <x v="13"/>
    <x v="0"/>
    <x v="1"/>
    <x v="0"/>
    <x v="0"/>
    <x v="0"/>
  </r>
  <r>
    <x v="14"/>
    <x v="3"/>
    <x v="10"/>
    <s v="https://pro.goodrichlumber.com/MainSite/Store1/_CachedContent/_ECommerce/StoreProductCategories/2.png_x000a_"/>
    <s v="Spruce-Spruce 2x4 x12&quot;. $0.54"/>
    <x v="2"/>
    <x v="0"/>
    <x v="14"/>
    <x v="0"/>
    <x v="1"/>
    <x v="0"/>
    <x v="0"/>
    <x v="0"/>
  </r>
  <r>
    <x v="15"/>
    <x v="4"/>
    <x v="11"/>
    <s v="https://filmandeventsolutions.ca/wp-content/uploads/2021/01/foam-core-white.jpg_x000a_"/>
    <s v="Foam-Foam core white 1/8&quot; x20&quot;x30&quot;. $7.54"/>
    <x v="3"/>
    <x v="0"/>
    <x v="15"/>
    <x v="0"/>
    <x v="1"/>
    <x v="0"/>
    <x v="0"/>
    <x v="0"/>
  </r>
  <r>
    <x v="16"/>
    <x v="4"/>
    <x v="12"/>
    <s v="https://static1.squarespace.com/static/53f9d90ee4b0572e560769f8/53fa315ce4b0727da1b81a20/544b701be4b04f9b3c5db596/1548250703980/?format=1000w_x000a_"/>
    <s v="Foam-XPS Blue 1/2&quot; x12&quot;x12&quot;. $0.87"/>
    <x v="1"/>
    <x v="0"/>
    <x v="16"/>
    <x v="0"/>
    <x v="1"/>
    <x v="0"/>
    <x v="0"/>
    <x v="0"/>
  </r>
  <r>
    <x v="17"/>
    <x v="5"/>
    <x v="13"/>
    <s v="https://rebul.com.au/wp-content/uploads/2014/06/honeycomb_board1-1024x480.jpg_x000a_"/>
    <s v="Cardboard-Honeycomb Board 1/2&quot; x18&quot;x24&quot;. $2.52"/>
    <x v="0"/>
    <x v="0"/>
    <x v="17"/>
    <x v="0"/>
    <x v="0"/>
    <x v="0"/>
    <x v="0"/>
    <x v="0"/>
  </r>
  <r>
    <x v="18"/>
    <x v="5"/>
    <x v="14"/>
    <s v="https://5.imimg.com/data5/PL/LP/MY-1061796/corrugated-cardboard-sheets-500x500.jpg_x000a_"/>
    <s v="Cardboard-Cardboard 5/32&quot; x18&quot;x24&quot;. $1.92"/>
    <x v="0"/>
    <x v="0"/>
    <x v="18"/>
    <x v="0"/>
    <x v="0"/>
    <x v="0"/>
    <x v="0"/>
    <x v="0"/>
  </r>
  <r>
    <x v="19"/>
    <x v="5"/>
    <x v="15"/>
    <s v="https://ae01.alicdn.com/kf/HTB1kIX5SFXXXXb2XpXXq6xXFXXXw/Blank-kraft-A3-paper-300gsm-250gsm-150gsm-DIY-a3-Paperboard-Cardboard-Card.jpg_640x640.jpg_x000a_"/>
    <s v="Cardboard-Paperboard 1/16&quot; x18&quot;x24&quot;. $2.28"/>
    <x v="0"/>
    <x v="0"/>
    <x v="19"/>
    <x v="0"/>
    <x v="0"/>
    <x v="0"/>
    <x v="0"/>
    <x v="0"/>
  </r>
  <r>
    <x v="20"/>
    <x v="5"/>
    <x v="16"/>
    <s v="https://ae01.alicdn.com/kf/HTB1kIX5SFXXXXb2XpXXq6xXFXXXw/Blank-kraft-A3-paper-300gsm-250gsm-150gsm-DIY-a3-Paperboard-Cardboard-Card.jpg_640x640.jpg_x000a_"/>
    <s v="Cardboard-Paperboard 1/32&quot; x18&quot;x24&quot;. $0.51"/>
    <x v="0"/>
    <x v="0"/>
    <x v="20"/>
    <x v="0"/>
    <x v="0"/>
    <x v="0"/>
    <x v="0"/>
    <x v="0"/>
  </r>
  <r>
    <x v="21"/>
    <x v="0"/>
    <x v="17"/>
    <s v="https://i.ebayimg.com/images/g/kiAAAOSwr~lYsZH9/s-l300.jpg_x000a_"/>
    <s v="Birch Ply-Birch ply 1/4&quot; x12&quot;x12&quot;. $1.22"/>
    <x v="1"/>
    <x v="0"/>
    <x v="21"/>
    <x v="0"/>
    <x v="1"/>
    <x v="0"/>
    <x v="0"/>
    <x v="0"/>
  </r>
  <r>
    <x v="22"/>
    <x v="1"/>
    <x v="18"/>
    <s v="https://images-na.ssl-images-amazon.com/images/I/71jCJuz-D7L._SX466_.jpg_x000a_"/>
    <s v="MDF-MDF 1/2&quot; x12&quot;x12&quot;. $1.04"/>
    <x v="1"/>
    <x v="0"/>
    <x v="22"/>
    <x v="0"/>
    <x v="1"/>
    <x v="0"/>
    <x v="0"/>
    <x v="0"/>
  </r>
  <r>
    <x v="23"/>
    <x v="0"/>
    <x v="19"/>
    <s v="https://i.ebayimg.com/images/g/kiAAAOSwr~lYsZH9/s-l300.jpg_x000a_"/>
    <s v="Birch Ply-Birch ply 1/32&quot; x18&quot;x24&quot;. $13.3"/>
    <x v="0"/>
    <x v="0"/>
    <x v="23"/>
    <x v="0"/>
    <x v="0"/>
    <x v="0"/>
    <x v="0"/>
    <x v="0"/>
  </r>
  <r>
    <x v="24"/>
    <x v="4"/>
    <x v="20"/>
    <s v="https://www.foambymail.com/Merchant2/graphics/00000001/polyethylene_540x404.jpg_x000a_"/>
    <s v="Foam-PE foam White 1/2&quot; x18&quot;x24&quot;. $3.23"/>
    <x v="0"/>
    <x v="0"/>
    <x v="24"/>
    <x v="0"/>
    <x v="0"/>
    <x v="0"/>
    <x v="0"/>
    <x v="0"/>
  </r>
  <r>
    <x v="25"/>
    <x v="5"/>
    <x v="21"/>
    <s v="https://5.imimg.com/data5/PL/LP/MY-1061796/corrugated-cardboard-sheets-500x500.jpg_x000a_"/>
    <s v="Cardboard-Cardboard Double Wall 1/4&quot; x24&quot;x48&quot;. $4.71"/>
    <x v="4"/>
    <x v="0"/>
    <x v="25"/>
    <x v="0"/>
    <x v="1"/>
    <x v="0"/>
    <x v="0"/>
    <x v="0"/>
  </r>
  <r>
    <x v="26"/>
    <x v="5"/>
    <x v="22"/>
    <s v="https://5.imimg.com/data5/PL/LP/MY-1061796/corrugated-cardboard-sheets-500x500.jpg_x000a_"/>
    <s v="Cardboard-Cardboard 3/16&quot; x30&quot;x40&quot;. $3.62"/>
    <x v="5"/>
    <x v="0"/>
    <x v="26"/>
    <x v="0"/>
    <x v="1"/>
    <x v="0"/>
    <x v="0"/>
    <x v="0"/>
  </r>
  <r>
    <x v="27"/>
    <x v="4"/>
    <x v="23"/>
    <s v="https://filmandeventsolutions.ca/wp-content/uploads/2021/01/foam-core-white.jpg_x000a_"/>
    <s v="Foam-Foam core white 3/16&quot; x18&quot;x24&quot;. $4.73"/>
    <x v="0"/>
    <x v="0"/>
    <x v="27"/>
    <x v="0"/>
    <x v="1"/>
    <x v="0"/>
    <x v="0"/>
    <x v="0"/>
  </r>
  <r>
    <x v="28"/>
    <x v="4"/>
    <x v="24"/>
    <s v="https://images-na.ssl-images-amazon.com/images/I/41FHF69F2IL._SX355_.jpg_x000a_"/>
    <s v="Foam-Foam core black 3/16&quot; x30&quot;x20&quot;. $3.52"/>
    <x v="6"/>
    <x v="0"/>
    <x v="28"/>
    <x v="0"/>
    <x v="1"/>
    <x v="0"/>
    <x v="0"/>
    <x v="0"/>
  </r>
  <r>
    <x v="29"/>
    <x v="1"/>
    <x v="25"/>
    <s v="https://images-na.ssl-images-amazon.com/images/I/71jCJuz-D7L._SX466_.jpg_x000a_"/>
    <s v="MDF* LOW STOCK -MDF 1/4&quot; x12&quot;x12&quot;. $0.64"/>
    <x v="1"/>
    <x v="0"/>
    <x v="29"/>
    <x v="0"/>
    <x v="1"/>
    <x v="0"/>
    <x v="0"/>
    <x v="0"/>
  </r>
  <r>
    <x v="30"/>
    <x v="3"/>
    <x v="10"/>
    <s v="https://pro.goodrichlumber.com/MainSite/Store1/_CachedContent/_ECommerce/StoreProductCategories/2.png_x000a_"/>
    <s v="Spruce-Spruce 2x2 x12&quot;. $0.54"/>
    <x v="2"/>
    <x v="0"/>
    <x v="30"/>
    <x v="0"/>
    <x v="1"/>
    <x v="1"/>
    <x v="0"/>
    <x v="0"/>
  </r>
  <r>
    <x v="31"/>
    <x v="6"/>
    <x v="26"/>
    <s v="https://www.pitsco.com/sharedimages/product/ExtraLarge/XL_BALSASHEETS.jpg_x000a_"/>
    <s v="Balsa sheet-Balsa sheet 1/32&quot;x6&quot;x12&quot; x6&quot;x12&quot;. $1.07"/>
    <x v="7"/>
    <x v="0"/>
    <x v="31"/>
    <x v="0"/>
    <x v="0"/>
    <x v="0"/>
    <x v="0"/>
    <x v="0"/>
  </r>
  <r>
    <x v="32"/>
    <x v="6"/>
    <x v="27"/>
    <s v="https://www.pitsco.com/sharedimages/product/ExtraLarge/XL_BALSASHEETS.jpg_x000a_"/>
    <s v="Balsa sheet-Balsa sheet 1/8&quot;x6&quot;x12&quot; x6&quot;x12&quot;. $1.29"/>
    <x v="7"/>
    <x v="0"/>
    <x v="32"/>
    <x v="0"/>
    <x v="0"/>
    <x v="1"/>
    <x v="0"/>
    <x v="0"/>
  </r>
  <r>
    <x v="33"/>
    <x v="6"/>
    <x v="28"/>
    <s v="https://www.pitsco.com/sharedimages/product/ExtraLarge/XL_BALSASHEETS.jpg_x000a_"/>
    <s v="Balsa sheet-Balsa sheet 1/32&quot;x3&quot;x12&quot; x3&quot;x12&quot;. $0.38"/>
    <x v="8"/>
    <x v="0"/>
    <x v="33"/>
    <x v="0"/>
    <x v="0"/>
    <x v="0"/>
    <x v="0"/>
    <x v="0"/>
  </r>
  <r>
    <x v="34"/>
    <x v="6"/>
    <x v="29"/>
    <s v="https://www.pitsco.com/sharedimages/product/ExtraLarge/XL_BALSASHEETS.jpg_x000a_"/>
    <s v="Balsa sheet-Balsa sheet 1/8&quot;x3&quot;x12&quot; x3&quot;x12&quot;. $0.56"/>
    <x v="8"/>
    <x v="0"/>
    <x v="34"/>
    <x v="0"/>
    <x v="1"/>
    <x v="0"/>
    <x v="0"/>
    <x v="0"/>
  </r>
  <r>
    <x v="35"/>
    <x v="7"/>
    <x v="30"/>
    <s v="https://encrypted-tbn0.gstatic.com/images?q=tbn:ANd9GcSQwmXiHvoupnrrXWFUvWksvnhdgmBxHLF0Tcv9EcVM49c8M9bNxQ_x000a_"/>
    <s v="Flex plywood-Flexible plywood 13/64&quot; x12&quot;x12&quot;. $1.26"/>
    <x v="1"/>
    <x v="0"/>
    <x v="35"/>
    <x v="0"/>
    <x v="1"/>
    <x v="0"/>
    <x v="0"/>
    <x v="0"/>
  </r>
  <r>
    <x v="36"/>
    <x v="7"/>
    <x v="31"/>
    <s v="https://encrypted-tbn0.gstatic.com/images?q=tbn:ANd9GcSQwmXiHvoupnrrXWFUvWksvnhdgmBxHLF0Tcv9EcVM49c8M9bNxQ_x000a_"/>
    <s v="Flex plywood-Flexible plywood 5/16&quot; x12&quot;x12&quot;. $1.63"/>
    <x v="1"/>
    <x v="0"/>
    <x v="36"/>
    <x v="0"/>
    <x v="1"/>
    <x v="0"/>
    <x v="0"/>
    <x v="0"/>
  </r>
  <r>
    <x v="37"/>
    <x v="8"/>
    <x v="32"/>
    <s v="https://cdn.shopify.com/s/files/1/2532/9964/products/block-balsa-12-x-3-x-3-1586168627237_large.jpg?v=1530130707_x000a_"/>
    <s v="Balsa Block-Balsa block 1&quot;x1&quot; x12&quot;. $1.81"/>
    <x v="2"/>
    <x v="0"/>
    <x v="37"/>
    <x v="0"/>
    <x v="1"/>
    <x v="0"/>
    <x v="0"/>
    <x v="0"/>
  </r>
  <r>
    <x v="38"/>
    <x v="8"/>
    <x v="33"/>
    <s v="https://cdn.shopify.com/s/files/1/2532/9964/products/block-balsa-12-x-3-x-3-1586168627237_large.jpg?v=1530130707_x000a_"/>
    <s v="Balsa Block-Balsa block 2&quot;x2&quot; x12&quot;. $5.29"/>
    <x v="2"/>
    <x v="0"/>
    <x v="38"/>
    <x v="0"/>
    <x v="1"/>
    <x v="0"/>
    <x v="0"/>
    <x v="0"/>
  </r>
  <r>
    <x v="39"/>
    <x v="8"/>
    <x v="34"/>
    <s v="https://cdn.shopify.com/s/files/1/2532/9964/products/block-balsa-12-x-3-x-3-1586168627237_large.jpg?v=1530130707_x000a_"/>
    <s v="Balsa Block-Balsa block 3&quot;x3&quot; x12&quot;. $11.91"/>
    <x v="2"/>
    <x v="0"/>
    <x v="39"/>
    <x v="0"/>
    <x v="1"/>
    <x v="0"/>
    <x v="0"/>
    <x v="0"/>
  </r>
  <r>
    <x v="40"/>
    <x v="9"/>
    <x v="35"/>
    <s v="https://www.rchopez.com/webshaper/pcm/gallery/lg/73d0bc1d2498815350e2b2a0464192c31479467366-lg.png_x000a_"/>
    <s v="Sticks-Balsa sticks soft (specify size) x12&quot;. $"/>
    <x v="2"/>
    <x v="0"/>
    <x v="40"/>
    <x v="0"/>
    <x v="1"/>
    <x v="0"/>
    <x v="0"/>
    <x v="0"/>
  </r>
  <r>
    <x v="41"/>
    <x v="10"/>
    <x v="35"/>
    <s v="https://www.woodworkerssource.com/mm5/graphics/woods_products/hardwood_dowels/birch_dowels_001.jpg_x000a_"/>
    <s v="Dowel-Birch dowel round (specify size) x12&quot;. $"/>
    <x v="2"/>
    <x v="0"/>
    <x v="41"/>
    <x v="0"/>
    <x v="1"/>
    <x v="0"/>
    <x v="0"/>
    <x v="0"/>
  </r>
  <r>
    <x v="42"/>
    <x v="9"/>
    <x v="35"/>
    <s v="https://cdn.shopify.com/s/files/1/2281/6393/products/yy1SIGBA226.jpg?v=1504658427_x000a_"/>
    <s v="Sticks-Basswood stick square (specify size) x12&quot;. $"/>
    <x v="2"/>
    <x v="0"/>
    <x v="42"/>
    <x v="0"/>
    <x v="1"/>
    <x v="0"/>
    <x v="0"/>
    <x v="0"/>
  </r>
  <r>
    <x v="43"/>
    <x v="4"/>
    <x v="36"/>
    <s v="https://encrypted-tbn0.gstatic.com/images?q=tbn:ANd9GcTqj9XxGREZR1pNRhWlwYgu6Pyvp8xtni6K5vXmXocJS3UeuV4c7Q_x000a_"/>
    <s v="Foam-EPS Foam White 1/2&quot; x24&quot;x48&quot;. $3.73"/>
    <x v="4"/>
    <x v="0"/>
    <x v="43"/>
    <x v="0"/>
    <x v="1"/>
    <x v="0"/>
    <x v="0"/>
    <x v="0"/>
  </r>
  <r>
    <x v="44"/>
    <x v="4"/>
    <x v="37"/>
    <s v="https://encrypted-tbn0.gstatic.com/images?q=tbn:ANd9GcTqj9XxGREZR1pNRhWlwYgu6Pyvp8xtni6K5vXmXocJS3UeuV4c7Q_x000a_"/>
    <s v="Foam-EPS Foam White 2&quot; x24&quot;x48&quot;. $15.47"/>
    <x v="4"/>
    <x v="0"/>
    <x v="44"/>
    <x v="0"/>
    <x v="1"/>
    <x v="0"/>
    <x v="0"/>
    <x v="0"/>
  </r>
  <r>
    <x v="45"/>
    <x v="11"/>
    <x v="12"/>
    <s v="https://buildgp.com/wp-content/uploads/2018/11/georgia-pacific-particleboard-corner-photo1-738x415.jpg_x000a_"/>
    <s v="Board-Particleboard 3/8&quot; x12&quot;x12&quot;. $0.87"/>
    <x v="1"/>
    <x v="0"/>
    <x v="45"/>
    <x v="0"/>
    <x v="1"/>
    <x v="0"/>
    <x v="0"/>
    <x v="0"/>
  </r>
  <r>
    <x v="46"/>
    <x v="11"/>
    <x v="38"/>
    <s v="https://buildgp.com/wp-content/uploads/2018/11/georgia-pacific-particleboard-corner-photo1-738x415.jpg_x000a_"/>
    <s v="Board-Particleboard 1/2&quot; x12&quot;x12&quot;. $0.9"/>
    <x v="1"/>
    <x v="0"/>
    <x v="46"/>
    <x v="0"/>
    <x v="1"/>
    <x v="0"/>
    <x v="0"/>
    <x v="0"/>
  </r>
  <r>
    <x v="47"/>
    <x v="2"/>
    <x v="39"/>
    <s v="https://i.etsystatic.com/5553166/r/il/31a37d/1750563203/il_570xN.1750563203_lm14.jpg_x000a_"/>
    <s v="Acrylic-Acrylic Colored 1/8&quot; x18&quot;x24&quot;. $19.34"/>
    <x v="0"/>
    <x v="0"/>
    <x v="47"/>
    <x v="0"/>
    <x v="0"/>
    <x v="0"/>
    <x v="0"/>
    <x v="0"/>
  </r>
  <r>
    <x v="48"/>
    <x v="11"/>
    <x v="40"/>
    <s v="https://cdn.shopify.com/s/files/1/1436/7450/products/glamour_image_grande.jpg?v=1534301968_x000a_Peterboro Mat Board"/>
    <s v="Board-Mat Board CIV102 x1 unit. $0"/>
    <x v="9"/>
    <x v="0"/>
    <x v="48"/>
    <x v="0"/>
    <x v="0"/>
    <x v="0"/>
    <x v="0"/>
    <x v="0"/>
  </r>
  <r>
    <x v="49"/>
    <x v="12"/>
    <x v="41"/>
    <s v="https://images-na.ssl-images-amazon.com/images/I/61FwSp3RwFL._SX466_.jpg_x000a_"/>
    <s v="Corrugated PlasticCorrugated Plastic x24&quot;x48&quot;. $7.5"/>
    <x v="4"/>
    <x v="0"/>
    <x v="49"/>
    <x v="0"/>
    <x v="1"/>
    <x v="0"/>
    <x v="0"/>
    <x v="0"/>
  </r>
  <r>
    <x v="50"/>
    <x v="5"/>
    <x v="42"/>
    <s v="https://www.staples-3p.com/s7/is/image/Staples/sp43815387_sc7?wid=512&amp;hei=512_x000a_"/>
    <s v="CardboardCardstock x8.5x11&quot;. $0.12"/>
    <x v="10"/>
    <x v="0"/>
    <x v="50"/>
    <x v="0"/>
    <x v="0"/>
    <x v="0"/>
    <x v="0"/>
    <x v="0"/>
  </r>
  <r>
    <x v="51"/>
    <x v="13"/>
    <x v="25"/>
    <s v="https://s7d2.scene7.com/is/image/homedepotcanada/p_1000850316.jpg_x000a_"/>
    <s v="Vynil SheetClear vinyl sheet x12&quot;x12&quot;. $0.64"/>
    <x v="1"/>
    <x v="0"/>
    <x v="51"/>
    <x v="0"/>
    <x v="1"/>
    <x v="0"/>
    <x v="0"/>
    <x v="0"/>
  </r>
  <r>
    <x v="52"/>
    <x v="14"/>
    <x v="43"/>
    <s v="https://www.vfmgroup.com.au/assets/full/AF-HF-30.jpg?1537837551_x000a_"/>
    <s v="EVAEVA black 1/8&quot; x12&quot;x12&quot;. $2.15"/>
    <x v="1"/>
    <x v="0"/>
    <x v="52"/>
    <x v="0"/>
    <x v="1"/>
    <x v="0"/>
    <x v="0"/>
    <x v="0"/>
  </r>
  <r>
    <x v="53"/>
    <x v="14"/>
    <x v="44"/>
    <s v="https://www.vfmgroup.com.au/assets/full/AF-HF-30.jpg?1537837551_x000a_"/>
    <s v="EVAEVA black 1/4&quot; x12&quot;x12&quot;. $2.6"/>
    <x v="1"/>
    <x v="0"/>
    <x v="53"/>
    <x v="0"/>
    <x v="1"/>
    <x v="0"/>
    <x v="0"/>
    <x v="0"/>
  </r>
  <r>
    <x v="54"/>
    <x v="14"/>
    <x v="45"/>
    <s v="https://www.vfmgroup.com.au/assets/full/AF-HF-30.jpg?1537837551_x000a_"/>
    <s v="EVAEVA black 1/2&quot; x12&quot;x12&quot;. $3.58"/>
    <x v="1"/>
    <x v="0"/>
    <x v="54"/>
    <x v="0"/>
    <x v="1"/>
    <x v="0"/>
    <x v="0"/>
    <x v="0"/>
  </r>
  <r>
    <x v="55"/>
    <x v="15"/>
    <x v="46"/>
    <s v="https://encrypted-tbn0.gstatic.com/images?q=tbn:ANd9GcQ2wsj5IUKdNaOYIc9cDjwL-9PRabRrToHfgD-jJ8K8PRpRVeII&amp;s_x000a_"/>
    <s v="Worbla A BlackWorbla black x12&quot;x12&quot;. $7.88"/>
    <x v="1"/>
    <x v="0"/>
    <x v="55"/>
    <x v="0"/>
    <x v="1"/>
    <x v="0"/>
    <x v="0"/>
    <x v="0"/>
  </r>
  <r>
    <x v="56"/>
    <x v="16"/>
    <x v="47"/>
    <s v="http://sc01.alicdn.com/kf/HTB1lPfGknCWBKNjSZFtq6yC3FXaK/White-Plastic-12-16-20-inch-diameter.jpg_x000a_"/>
    <s v="PVC PipePVC Pipe 1/2&quot; x12&quot;. $0.57"/>
    <x v="2"/>
    <x v="0"/>
    <x v="56"/>
    <x v="0"/>
    <x v="1"/>
    <x v="0"/>
    <x v="0"/>
    <x v="0"/>
  </r>
  <r>
    <x v="57"/>
    <x v="16"/>
    <x v="48"/>
    <s v="http://sc01.alicdn.com/kf/HTB1lPfGknCWBKNjSZFtq6yC3FXaK/White-Plastic-12-16-20-inch-diameter.jpg_x000a_"/>
    <s v="PVC PipePVC Pipe 3/4&quot; x12&quot;. $0.67"/>
    <x v="2"/>
    <x v="0"/>
    <x v="57"/>
    <x v="0"/>
    <x v="1"/>
    <x v="0"/>
    <x v="0"/>
    <x v="0"/>
  </r>
  <r>
    <x v="58"/>
    <x v="16"/>
    <x v="49"/>
    <s v="http://sc01.alicdn.com/kf/HTB1lPfGknCWBKNjSZFtq6yC3FXaK/White-Plastic-12-16-20-inch-diameter.jpg_x000a_"/>
    <s v="PVC PipePVC Pipe 1&quot; x12&quot;. $0.79"/>
    <x v="2"/>
    <x v="0"/>
    <x v="58"/>
    <x v="0"/>
    <x v="1"/>
    <x v="0"/>
    <x v="0"/>
    <x v="0"/>
  </r>
  <r>
    <x v="59"/>
    <x v="5"/>
    <x v="13"/>
    <s v="https://actionenvelope.scene7.com/is/image/ActionEnvelope/BP-P2018K?hei=413&amp;wid=510&amp;fmt=jpeg&amp;qlt=50&amp;bgc=f1f1f1_x000a_"/>
    <s v="CardboardCardboard tube 2&quot; x36&quot;. $2.52"/>
    <x v="11"/>
    <x v="0"/>
    <x v="59"/>
    <x v="0"/>
    <x v="1"/>
    <x v="0"/>
    <x v="0"/>
    <x v="0"/>
  </r>
  <r>
    <x v="60"/>
    <x v="6"/>
    <x v="50"/>
    <s v="https://www.pitsco.com/sharedimages/product/ExtraLarge/XL_BALSASHEETS.jpg_x000a_"/>
    <s v="Balsa sheetBalsa sheet 1/16&quot;x6&quot;x12&quot; x6&quot;x12&quot;. $1.09"/>
    <x v="7"/>
    <x v="0"/>
    <x v="60"/>
    <x v="0"/>
    <x v="0"/>
    <x v="0"/>
    <x v="0"/>
    <x v="0"/>
  </r>
  <r>
    <x v="61"/>
    <x v="6"/>
    <x v="28"/>
    <s v="https://www.pitsco.com/sharedimages/product/ExtraLarge/XL_BALSASHEETS.jpg_x000a_"/>
    <s v="Balsa sheetBalsa sheet 1/16&quot;x3&quot;x12&quot; x3&quot;x12&quot;. $0.38"/>
    <x v="8"/>
    <x v="0"/>
    <x v="61"/>
    <x v="0"/>
    <x v="0"/>
    <x v="0"/>
    <x v="0"/>
    <x v="0"/>
  </r>
  <r>
    <x v="62"/>
    <x v="3"/>
    <x v="51"/>
    <s v="https://pro.goodrichlumber.com/MainSite/Store1/_CachedContent/_ECommerce/StoreProductCategories/2.png_x000a_"/>
    <s v="Spruce* OUT OF STOCK -Spruce 1x2 x12&quot;. $0.27"/>
    <x v="2"/>
    <x v="0"/>
    <x v="62"/>
    <x v="0"/>
    <x v="1"/>
    <x v="0"/>
    <x v="0"/>
    <x v="0"/>
  </r>
  <r>
    <x v="63"/>
    <x v="11"/>
    <x v="24"/>
    <s v="https://da.lowes.ca/webassets/images/720625_05339188_001_l.jpg_x000a_"/>
    <s v="BoardPine board 12&quot; x12&quot;. $3.52"/>
    <x v="2"/>
    <x v="0"/>
    <x v="63"/>
    <x v="0"/>
    <x v="1"/>
    <x v="0"/>
    <x v="0"/>
    <x v="0"/>
  </r>
  <r>
    <x v="64"/>
    <x v="11"/>
    <x v="52"/>
    <s v="https://www.woodworkerssource.com/mm5/graphics/woods_stacks_scans/main_lumber/maple-hard-lumber.jpg_x000a_"/>
    <s v="BoardMaple board 1&quot; x6&quot;x12&quot;. $10.03"/>
    <x v="7"/>
    <x v="0"/>
    <x v="64"/>
    <x v="0"/>
    <x v="1"/>
    <x v="0"/>
    <x v="0"/>
    <x v="0"/>
  </r>
  <r>
    <x v="65"/>
    <x v="4"/>
    <x v="53"/>
    <s v="https://static1.squarespace.com/static/53f9d90ee4b0572e560769f8/53fa315ce4b0727da1b81a20/544b701be4b04f9b3c5db596/1548250703980/?format=1000w_x000a_"/>
    <s v="FoamXPS Blue 2&quot; x12&quot;x12&quot;. $2.53"/>
    <x v="1"/>
    <x v="0"/>
    <x v="65"/>
    <x v="0"/>
    <x v="1"/>
    <x v="0"/>
    <x v="0"/>
    <x v="0"/>
  </r>
  <r>
    <x v="66"/>
    <x v="10"/>
    <x v="54"/>
    <s v="https://www.woodworkerssource.com/mm5/graphics/woods_products/hardwood_dowels/birch_dowels_001.jpg_x000a_"/>
    <s v="DowelBirch dowel 1/8&quot; x12&quot;. $0.11"/>
    <x v="2"/>
    <x v="0"/>
    <x v="66"/>
    <x v="0"/>
    <x v="1"/>
    <x v="0"/>
    <x v="0"/>
    <x v="0"/>
  </r>
  <r>
    <x v="67"/>
    <x v="10"/>
    <x v="55"/>
    <s v="https://www.woodworkerssource.com/mm5/graphics/woods_products/hardwood_dowels/birch_dowels_001.jpg_x000a_"/>
    <s v="DowelBirch dowel 3/16&quot; x12&quot;. $0.16"/>
    <x v="2"/>
    <x v="0"/>
    <x v="67"/>
    <x v="0"/>
    <x v="1"/>
    <x v="0"/>
    <x v="0"/>
    <x v="0"/>
  </r>
  <r>
    <x v="68"/>
    <x v="10"/>
    <x v="56"/>
    <s v="https://www.woodworkerssource.com/mm5/graphics/woods_products/hardwood_dowels/birch_dowels_001.jpg_x000a_"/>
    <s v="DowelBirch dowel 1/4&quot; x12&quot;. $0.18"/>
    <x v="2"/>
    <x v="0"/>
    <x v="68"/>
    <x v="0"/>
    <x v="1"/>
    <x v="0"/>
    <x v="0"/>
    <x v="0"/>
  </r>
  <r>
    <x v="69"/>
    <x v="10"/>
    <x v="57"/>
    <s v="https://www.woodworkerssource.com/mm5/graphics/woods_products/hardwood_dowels/birch_dowels_001.jpg_x000a_"/>
    <s v="DowelBirch dowel 5/16&quot; x12&quot;. $0.22"/>
    <x v="2"/>
    <x v="0"/>
    <x v="69"/>
    <x v="0"/>
    <x v="1"/>
    <x v="0"/>
    <x v="0"/>
    <x v="0"/>
  </r>
  <r>
    <x v="70"/>
    <x v="10"/>
    <x v="58"/>
    <s v="https://www.woodworkerssource.com/mm5/graphics/woods_products/hardwood_dowels/birch_dowels_001.jpg_x000a_"/>
    <s v="DowelBirch dowel 3/8&quot; x12&quot;. $0.28"/>
    <x v="2"/>
    <x v="0"/>
    <x v="70"/>
    <x v="0"/>
    <x v="1"/>
    <x v="0"/>
    <x v="0"/>
    <x v="0"/>
  </r>
  <r>
    <x v="71"/>
    <x v="10"/>
    <x v="28"/>
    <s v="https://www.woodworkerssource.com/mm5/graphics/woods_products/hardwood_dowels/birch_dowels_001.jpg_x000a_"/>
    <s v="DowelBirch dowel 7/16&quot; x12&quot;. $0.38"/>
    <x v="2"/>
    <x v="0"/>
    <x v="71"/>
    <x v="0"/>
    <x v="1"/>
    <x v="0"/>
    <x v="0"/>
    <x v="0"/>
  </r>
  <r>
    <x v="72"/>
    <x v="10"/>
    <x v="59"/>
    <s v="https://www.woodworkerssource.com/mm5/graphics/woods_products/hardwood_dowels/birch_dowels_001.jpg_x000a_"/>
    <s v="DowelBirch dowel 1/2&quot; x12&quot;. $0.48"/>
    <x v="2"/>
    <x v="0"/>
    <x v="72"/>
    <x v="0"/>
    <x v="1"/>
    <x v="0"/>
    <x v="0"/>
    <x v="0"/>
  </r>
  <r>
    <x v="73"/>
    <x v="10"/>
    <x v="48"/>
    <s v="https://www.woodworkerssource.com/mm5/graphics/woods_products/hardwood_dowels/birch_dowels_001.jpg_x000a_"/>
    <s v="DowelBirch dowel 5/8&quot; x12&quot;. $0.67"/>
    <x v="2"/>
    <x v="0"/>
    <x v="73"/>
    <x v="0"/>
    <x v="1"/>
    <x v="0"/>
    <x v="0"/>
    <x v="0"/>
  </r>
  <r>
    <x v="74"/>
    <x v="10"/>
    <x v="60"/>
    <s v="https://www.woodworkerssource.com/mm5/graphics/woods_products/hardwood_dowels/birch_dowels_001.jpg_x000a_"/>
    <s v="DowelBirch dowel 3/4&quot; x12&quot;. $1.11"/>
    <x v="2"/>
    <x v="0"/>
    <x v="74"/>
    <x v="0"/>
    <x v="1"/>
    <x v="0"/>
    <x v="0"/>
    <x v="0"/>
  </r>
  <r>
    <x v="75"/>
    <x v="10"/>
    <x v="61"/>
    <s v="https://www.woodworkerssource.com/mm5/graphics/woods_products/hardwood_dowels/birch_dowels_001.jpg_x000a_"/>
    <s v="DowelBirch dowel 7/8&quot; x12&quot;. $0.45"/>
    <x v="2"/>
    <x v="0"/>
    <x v="75"/>
    <x v="0"/>
    <x v="1"/>
    <x v="0"/>
    <x v="0"/>
    <x v="0"/>
  </r>
  <r>
    <x v="76"/>
    <x v="10"/>
    <x v="14"/>
    <s v="https://www.woodworkerssource.com/mm5/graphics/woods_products/hardwood_dowels/birch_dowels_001.jpg_x000a_"/>
    <s v="DowelBirch dowel 1&quot; x12&quot;. $1.92"/>
    <x v="2"/>
    <x v="0"/>
    <x v="76"/>
    <x v="0"/>
    <x v="1"/>
    <x v="0"/>
    <x v="0"/>
    <x v="0"/>
  </r>
  <r>
    <x v="77"/>
    <x v="10"/>
    <x v="62"/>
    <s v="https://www.woodworkerssource.com/mm5/graphics/woods_products/hardwood_dowels/birch_dowels_001.jpg_x000a_"/>
    <s v="DowelBirch dowel 1-1/8&quot; x12&quot;. $2.56"/>
    <x v="2"/>
    <x v="0"/>
    <x v="77"/>
    <x v="0"/>
    <x v="1"/>
    <x v="0"/>
    <x v="0"/>
    <x v="0"/>
  </r>
  <r>
    <x v="78"/>
    <x v="10"/>
    <x v="63"/>
    <s v="https://www.woodworkerssource.com/mm5/graphics/woods_products/hardwood_dowels/birch_dowels_001.jpg_x000a_"/>
    <s v="DowelBirch dowel 1-1/4&quot; x12&quot;. $3.12"/>
    <x v="2"/>
    <x v="0"/>
    <x v="78"/>
    <x v="0"/>
    <x v="1"/>
    <x v="0"/>
    <x v="0"/>
    <x v="0"/>
  </r>
  <r>
    <x v="79"/>
    <x v="9"/>
    <x v="64"/>
    <s v="https://cdn.shopify.com/s/files/1/2281/6393/products/yy1SIGBA226.jpg?v=1504658427_x000a_"/>
    <s v="SticksBass stick 1/32 x 1/32&quot; x12&quot;x12&quot;. $0.08"/>
    <x v="1"/>
    <x v="0"/>
    <x v="79"/>
    <x v="0"/>
    <x v="1"/>
    <x v="0"/>
    <x v="0"/>
    <x v="0"/>
  </r>
  <r>
    <x v="80"/>
    <x v="9"/>
    <x v="64"/>
    <s v="https://cdn.shopify.com/s/files/1/2281/6393/products/yy1SIGBA226.jpg?v=1504658427_x000a_"/>
    <s v="SticksBass stick 1/16 x 1/16&quot; x12&quot;x12&quot;. $0.08"/>
    <x v="1"/>
    <x v="0"/>
    <x v="80"/>
    <x v="0"/>
    <x v="1"/>
    <x v="0"/>
    <x v="0"/>
    <x v="0"/>
  </r>
  <r>
    <x v="81"/>
    <x v="9"/>
    <x v="65"/>
    <s v="https://cdn.shopify.com/s/files/1/2281/6393/products/yy1SIGBA226.jpg?v=1504658427_x000a_"/>
    <s v="SticksBass stick 1/8 x 1/8&quot; x12&quot;x12&quot;. $0.1"/>
    <x v="1"/>
    <x v="0"/>
    <x v="81"/>
    <x v="0"/>
    <x v="1"/>
    <x v="0"/>
    <x v="0"/>
    <x v="0"/>
  </r>
  <r>
    <x v="82"/>
    <x v="9"/>
    <x v="66"/>
    <s v="https://cdn.shopify.com/s/files/1/2281/6393/products/yy1SIGBA226.jpg?v=1504658427_x000a_"/>
    <s v="SticksBass stick 1/8 x 1/4&quot; x12&quot;x12&quot;. $0.17"/>
    <x v="1"/>
    <x v="0"/>
    <x v="82"/>
    <x v="0"/>
    <x v="1"/>
    <x v="0"/>
    <x v="0"/>
    <x v="0"/>
  </r>
  <r>
    <x v="83"/>
    <x v="9"/>
    <x v="67"/>
    <s v="https://cdn.shopify.com/s/files/1/2281/6393/products/yy1SIGBA226.jpg?v=1504658427_x000a_"/>
    <s v="SticksBass stick 1/8 x 3/8&quot; x12&quot;x12&quot;. $0.26"/>
    <x v="1"/>
    <x v="0"/>
    <x v="83"/>
    <x v="0"/>
    <x v="1"/>
    <x v="0"/>
    <x v="0"/>
    <x v="0"/>
  </r>
  <r>
    <x v="84"/>
    <x v="9"/>
    <x v="68"/>
    <s v="https://cdn.shopify.com/s/files/1/2281/6393/products/yy1SIGBA226.jpg?v=1504658427_x000a_"/>
    <s v="SticksBass stick 1/8 x 1/2&quot; x12&quot;x12&quot;. $0.34"/>
    <x v="1"/>
    <x v="0"/>
    <x v="84"/>
    <x v="0"/>
    <x v="1"/>
    <x v="0"/>
    <x v="0"/>
    <x v="0"/>
  </r>
  <r>
    <x v="85"/>
    <x v="9"/>
    <x v="69"/>
    <s v="https://cdn.shopify.com/s/files/1/2281/6393/products/yy1SIGBA226.jpg?v=1504658427_x000a_"/>
    <s v="SticksBass stick 1/8 x 3/4&quot; x12&quot;x12&quot;. $0.42"/>
    <x v="1"/>
    <x v="0"/>
    <x v="85"/>
    <x v="0"/>
    <x v="1"/>
    <x v="0"/>
    <x v="0"/>
    <x v="0"/>
  </r>
  <r>
    <x v="86"/>
    <x v="9"/>
    <x v="67"/>
    <s v="https://cdn.shopify.com/s/files/1/2281/6393/products/yy1SIGBA226.jpg?v=1504658427_x000a_"/>
    <s v="SticksBass stick 1/4 x 1/4&quot; x12&quot;x12&quot;. $0.26"/>
    <x v="1"/>
    <x v="0"/>
    <x v="86"/>
    <x v="0"/>
    <x v="1"/>
    <x v="0"/>
    <x v="0"/>
    <x v="0"/>
  </r>
  <r>
    <x v="87"/>
    <x v="9"/>
    <x v="70"/>
    <s v="https://cdn.shopify.com/s/files/1/2281/6393/products/yy1SIGBA226.jpg?v=1504658427_x000a_"/>
    <s v="SticksBass stick 3/8 x 3/8&quot; x12&quot;x12&quot;. $0.43"/>
    <x v="1"/>
    <x v="0"/>
    <x v="87"/>
    <x v="0"/>
    <x v="1"/>
    <x v="0"/>
    <x v="0"/>
    <x v="0"/>
  </r>
  <r>
    <x v="88"/>
    <x v="9"/>
    <x v="71"/>
    <s v="https://cdn.shopify.com/s/files/1/2281/6393/products/yy1SIGBA226.jpg?v=1504658427_x000a_"/>
    <s v="SticksBass stick 1/2 x 1/2&quot; x12&quot;x12&quot;. $0.61"/>
    <x v="1"/>
    <x v="0"/>
    <x v="88"/>
    <x v="0"/>
    <x v="1"/>
    <x v="0"/>
    <x v="0"/>
    <x v="0"/>
  </r>
  <r>
    <x v="89"/>
    <x v="9"/>
    <x v="72"/>
    <s v="https://cdn.shopify.com/s/files/1/2281/6393/products/yy1SIGBA226.jpg?v=1504658427_x000a_"/>
    <s v="SticksBass stick 3/4 x 3/4&quot; x12&quot;x12&quot;. $0.72"/>
    <x v="1"/>
    <x v="0"/>
    <x v="89"/>
    <x v="0"/>
    <x v="1"/>
    <x v="0"/>
    <x v="0"/>
    <x v="0"/>
  </r>
  <r>
    <x v="90"/>
    <x v="9"/>
    <x v="73"/>
    <s v="https://cdn.shopify.com/s/files/1/2281/6393/products/yy1SIGBA226.jpg?v=1504658427_x000a_"/>
    <s v="SticksBass stick 1 x 1&quot; x12&quot;x12&quot;. $0.99"/>
    <x v="1"/>
    <x v="0"/>
    <x v="90"/>
    <x v="0"/>
    <x v="1"/>
    <x v="0"/>
    <x v="0"/>
    <x v="0"/>
  </r>
  <r>
    <x v="91"/>
    <x v="17"/>
    <x v="29"/>
    <s v="https://www.carbuilder.com/images/thumbs/0029813_soft-pvc-hose-3mm-id-6mm-od-per-metre.jpeg_x000a_"/>
    <s v="TubingFlexible Tubing 1/8&quot; I.D., 3/16&quot; O.D. x12&quot;. $0.56"/>
    <x v="2"/>
    <x v="0"/>
    <x v="91"/>
    <x v="1"/>
    <x v="1"/>
    <x v="2"/>
    <x v="0"/>
    <x v="0"/>
  </r>
  <r>
    <x v="92"/>
    <x v="17"/>
    <x v="74"/>
    <s v="https://images.globalindustrial.ca/images/pd/US5_ZUSA-HT-1158.jpg?t=1647179881000_x000a_"/>
    <s v="TubingFlexible Tubing 1/4&quot; I.D. x 3/8&quot; O.D x12&quot;. $1.01"/>
    <x v="2"/>
    <x v="0"/>
    <x v="92"/>
    <x v="1"/>
    <x v="1"/>
    <x v="0"/>
    <x v="0"/>
    <x v="0"/>
  </r>
  <r>
    <x v="93"/>
    <x v="3"/>
    <x v="68"/>
    <m/>
    <s v="SpruceSpruce 1x4 x12&quot;. $0.34"/>
    <x v="2"/>
    <x v="0"/>
    <x v="93"/>
    <x v="0"/>
    <x v="1"/>
    <x v="0"/>
    <x v="0"/>
    <x v="0"/>
  </r>
  <r>
    <x v="94"/>
    <x v="17"/>
    <x v="75"/>
    <s v="https://cdn.shopify.com/s/files/1/2723/8896/products/ldqvanvee4vkyddduwin_eff5d399-4560-4d6c-9655-31867978f477_500x.jpg?v=1662113591_x000a_"/>
    <s v="TubingFlexible Tubing 1/8&quot; I.D x 1/4&quot; O.D. x12&quot;. $0.7"/>
    <x v="2"/>
    <x v="0"/>
    <x v="94"/>
    <x v="0"/>
    <x v="1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CDFFE2-C825-4739-ACA4-59E7BCA026DD}" name="PivotHardware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 fieldListSortAscending="1">
  <location ref="P3:U11" firstHeaderRow="1" firstDataRow="1" firstDataCol="6"/>
  <pivotFields count="19">
    <pivotField axis="axisRow" compact="0" outline="0" showAll="0" defaultSubtotal="0">
      <items count="110">
        <item h="1" x="69"/>
        <item h="1" x="70"/>
        <item h="1" x="79"/>
        <item h="1" x="76"/>
        <item h="1" x="75"/>
        <item h="1" x="65"/>
        <item h="1" x="64"/>
        <item h="1" x="62"/>
        <item h="1" x="55"/>
        <item h="1" x="66"/>
        <item h="1" x="54"/>
        <item h="1" x="63"/>
        <item h="1" x="81"/>
        <item h="1" x="72"/>
        <item h="1" x="61"/>
        <item h="1" x="60"/>
        <item h="1" x="53"/>
        <item h="1" x="50"/>
        <item h="1" x="49"/>
        <item h="1" x="47"/>
        <item h="1" x="48"/>
        <item h="1" x="35"/>
        <item h="1" x="34"/>
        <item h="1" x="33"/>
        <item h="1" x="36"/>
        <item h="1" x="83"/>
        <item h="1" x="68"/>
        <item h="1" x="80"/>
        <item h="1" x="74"/>
        <item h="1" x="78"/>
        <item h="1" x="77"/>
        <item h="1" x="56"/>
        <item h="1" x="57"/>
        <item h="1" x="58"/>
        <item h="1" x="59"/>
        <item h="1" x="82"/>
        <item h="1" x="28"/>
        <item h="1" x="27"/>
        <item h="1" x="25"/>
        <item h="1" x="26"/>
        <item h="1" x="29"/>
        <item h="1" x="37"/>
        <item h="1" x="41"/>
        <item h="1" x="39"/>
        <item h="1" m="1" x="108"/>
        <item h="1" x="40"/>
        <item h="1" x="31"/>
        <item h="1" x="30"/>
        <item h="1" x="87"/>
        <item h="1" x="32"/>
        <item h="1" x="88"/>
        <item h="1" x="45"/>
        <item h="1" x="44"/>
        <item h="1" x="42"/>
        <item h="1" x="43"/>
        <item h="1" x="4"/>
        <item h="1" x="0"/>
        <item h="1" x="1"/>
        <item h="1" x="2"/>
        <item h="1" x="3"/>
        <item h="1" x="8"/>
        <item h="1" x="7"/>
        <item h="1" x="73"/>
        <item h="1" x="52"/>
        <item x="22"/>
        <item h="1" x="24"/>
        <item h="1" x="23"/>
        <item h="1" x="84"/>
        <item h="1" x="85"/>
        <item h="1" x="86"/>
        <item x="89"/>
        <item x="14"/>
        <item x="15"/>
        <item h="1" x="16"/>
        <item x="17"/>
        <item x="18"/>
        <item h="1" x="19"/>
        <item x="11"/>
        <item h="1" x="12"/>
        <item h="1" x="13"/>
        <item h="1" x="91"/>
        <item x="46"/>
        <item h="1" x="90"/>
        <item h="1" x="20"/>
        <item h="1" x="21"/>
        <item h="1" x="5"/>
        <item h="1" x="10"/>
        <item h="1" x="9"/>
        <item h="1" x="51"/>
        <item h="1" x="71"/>
        <item h="1" x="67"/>
        <item h="1" x="6"/>
        <item h="1" x="92"/>
        <item h="1" x="93"/>
        <item h="1" x="94"/>
        <item h="1" x="95"/>
        <item h="1" x="96"/>
        <item h="1" x="97"/>
        <item h="1" m="1" x="109"/>
        <item h="1" x="98"/>
        <item h="1" x="99"/>
        <item h="1" x="38"/>
        <item h="1" x="100"/>
        <item h="1" x="101"/>
        <item h="1" x="102"/>
        <item h="1" x="103"/>
        <item h="1" x="104"/>
        <item h="1" x="105"/>
        <item h="1" x="106"/>
        <item h="1" x="107"/>
      </items>
    </pivotField>
    <pivotField axis="axisRow" compact="0" outline="0" showAll="0" defaultSubtotal="0">
      <items count="54">
        <item x="27"/>
        <item x="40"/>
        <item x="30"/>
        <item x="0"/>
        <item x="17"/>
        <item x="10"/>
        <item x="16"/>
        <item x="7"/>
        <item x="18"/>
        <item x="9"/>
        <item x="8"/>
        <item x="25"/>
        <item x="12"/>
        <item x="11"/>
        <item x="26"/>
        <item x="31"/>
        <item x="22"/>
        <item x="23"/>
        <item x="21"/>
        <item m="1" x="52"/>
        <item x="13"/>
        <item x="20"/>
        <item x="14"/>
        <item m="1" x="53"/>
        <item x="15"/>
        <item x="41"/>
        <item x="32"/>
        <item x="42"/>
        <item x="38"/>
        <item x="24"/>
        <item x="33"/>
        <item x="1"/>
        <item x="34"/>
        <item x="29"/>
        <item x="37"/>
        <item x="35"/>
        <item x="2"/>
        <item x="36"/>
        <item x="4"/>
        <item x="5"/>
        <item x="3"/>
        <item x="6"/>
        <item x="39"/>
        <item x="43"/>
        <item x="44"/>
        <item x="45"/>
        <item x="46"/>
        <item x="47"/>
        <item x="48"/>
        <item x="49"/>
        <item x="50"/>
        <item x="19"/>
        <item x="28"/>
        <item x="51"/>
      </items>
    </pivotField>
    <pivotField compact="0" outline="0" showAll="0" defaultSubtotal="0"/>
    <pivotField axis="axisRow" compact="0" outline="0" showAll="0" defaultSubtotal="0">
      <items count="73">
        <item x="29"/>
        <item x="46"/>
        <item x="53"/>
        <item x="28"/>
        <item x="8"/>
        <item x="19"/>
        <item x="57"/>
        <item x="4"/>
        <item x="6"/>
        <item x="59"/>
        <item x="0"/>
        <item x="13"/>
        <item x="14"/>
        <item x="55"/>
        <item x="54"/>
        <item x="51"/>
        <item x="52"/>
        <item x="42"/>
        <item x="15"/>
        <item x="9"/>
        <item x="16"/>
        <item x="43"/>
        <item x="61"/>
        <item x="1"/>
        <item x="58"/>
        <item x="27"/>
        <item x="56"/>
        <item x="17"/>
        <item m="1" x="72"/>
        <item m="1" x="71"/>
        <item x="31"/>
        <item x="40"/>
        <item x="49"/>
        <item x="47"/>
        <item x="35"/>
        <item x="38"/>
        <item x="33"/>
        <item m="1" x="68"/>
        <item x="32"/>
        <item x="45"/>
        <item x="39"/>
        <item x="50"/>
        <item x="34"/>
        <item x="48"/>
        <item x="26"/>
        <item x="18"/>
        <item x="5"/>
        <item x="44"/>
        <item x="60"/>
        <item x="2"/>
        <item x="22"/>
        <item x="21"/>
        <item x="25"/>
        <item x="10"/>
        <item x="11"/>
        <item x="3"/>
        <item x="12"/>
        <item x="62"/>
        <item x="36"/>
        <item x="41"/>
        <item m="1" x="70"/>
        <item x="37"/>
        <item x="20"/>
        <item x="24"/>
        <item x="30"/>
        <item x="23"/>
        <item x="7"/>
        <item x="63"/>
        <item x="64"/>
        <item x="65"/>
        <item x="66"/>
        <item m="1" x="69"/>
        <item x="67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09">
        <item x="0"/>
        <item x="9"/>
        <item x="97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"/>
        <item x="28"/>
        <item x="29"/>
        <item x="30"/>
        <item x="31"/>
        <item x="32"/>
        <item x="33"/>
        <item x="34"/>
        <item x="35"/>
        <item x="36"/>
        <item x="37"/>
        <item x="3"/>
        <item x="38"/>
        <item x="39"/>
        <item x="40"/>
        <item x="41"/>
        <item x="42"/>
        <item x="43"/>
        <item x="44"/>
        <item x="45"/>
        <item x="46"/>
        <item x="47"/>
        <item x="4"/>
        <item x="48"/>
        <item x="49"/>
        <item x="50"/>
        <item x="51"/>
        <item x="52"/>
        <item x="53"/>
        <item x="54"/>
        <item x="55"/>
        <item x="56"/>
        <item x="57"/>
        <item x="5"/>
        <item x="58"/>
        <item x="59"/>
        <item x="60"/>
        <item x="61"/>
        <item x="62"/>
        <item x="63"/>
        <item x="64"/>
        <item x="65"/>
        <item x="66"/>
        <item x="67"/>
        <item x="6"/>
        <item x="68"/>
        <item x="69"/>
        <item x="70"/>
        <item x="71"/>
        <item x="72"/>
        <item x="73"/>
        <item x="74"/>
        <item x="75"/>
        <item x="76"/>
        <item x="77"/>
        <item x="7"/>
        <item x="78"/>
        <item x="79"/>
        <item x="80"/>
        <item x="81"/>
        <item x="82"/>
        <item x="83"/>
        <item x="84"/>
        <item x="85"/>
        <item x="86"/>
        <item x="87"/>
        <item x="8"/>
        <item x="88"/>
        <item x="89"/>
        <item x="90"/>
        <item x="91"/>
        <item x="92"/>
        <item x="93"/>
        <item x="94"/>
        <item x="95"/>
        <item x="96"/>
        <item x="98"/>
        <item x="99"/>
        <item m="1" x="108"/>
        <item x="100"/>
        <item x="101"/>
        <item x="102"/>
        <item x="103"/>
        <item x="104"/>
        <item x="105"/>
        <item x="106"/>
        <item x="107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">
        <item x="0"/>
        <item x="7"/>
        <item x="3"/>
        <item x="1"/>
        <item x="4"/>
        <item x="8"/>
        <item x="6"/>
        <item x="5"/>
        <item x="9"/>
        <item x="2"/>
      </items>
    </pivotField>
    <pivotField axis="axisRow" compact="0" outline="0" subtotalTop="0" showAll="0" defaultSubtotal="0">
      <items count="5">
        <item m="1" x="3"/>
        <item x="0"/>
        <item x="1"/>
        <item m="1" x="4"/>
        <item x="2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</pivotFields>
  <rowFields count="6">
    <field x="0"/>
    <field x="13"/>
    <field x="3"/>
    <field x="1"/>
    <field x="14"/>
    <field x="10"/>
  </rowFields>
  <rowItems count="8">
    <i>
      <x v="64"/>
      <x v="4"/>
      <x v="66"/>
      <x v="6"/>
      <x v="1"/>
      <x v="16"/>
    </i>
    <i>
      <x v="70"/>
      <x v="4"/>
      <x v="61"/>
      <x v="7"/>
      <x v="1"/>
      <x v="90"/>
    </i>
    <i>
      <x v="71"/>
      <x v="2"/>
      <x v="11"/>
      <x v="10"/>
      <x v="1"/>
      <x v="7"/>
    </i>
    <i>
      <x v="72"/>
      <x v="2"/>
      <x v="12"/>
      <x v="5"/>
      <x v="1"/>
      <x v="8"/>
    </i>
    <i>
      <x v="74"/>
      <x v="2"/>
      <x v="20"/>
      <x v="10"/>
      <x v="1"/>
      <x v="10"/>
    </i>
    <i>
      <x v="75"/>
      <x v="2"/>
      <x v="27"/>
      <x v="12"/>
      <x v="1"/>
      <x v="11"/>
    </i>
    <i>
      <x v="77"/>
      <x v="2"/>
      <x v="53"/>
      <x v="7"/>
      <x v="4"/>
      <x v="4"/>
    </i>
    <i>
      <x v="81"/>
      <x v="6"/>
      <x v="61"/>
      <x/>
      <x v="1"/>
      <x v="42"/>
    </i>
  </rowItems>
  <colItems count="1">
    <i/>
  </colItems>
  <formats count="11">
    <format dxfId="32">
      <pivotArea type="all" dataOnly="0" outline="0" fieldPosition="0"/>
    </format>
    <format dxfId="31">
      <pivotArea field="0" type="button" dataOnly="0" labelOnly="1" outline="0" axis="axisRow" fieldPosition="0"/>
    </format>
    <format dxfId="30">
      <pivotArea field="13" type="button" dataOnly="0" labelOnly="1" outline="0" axis="axisRow" fieldPosition="1"/>
    </format>
    <format dxfId="29">
      <pivotArea field="3" type="button" dataOnly="0" labelOnly="1" outline="0" axis="axisRow" fieldPosition="2"/>
    </format>
    <format dxfId="28">
      <pivotArea field="1" type="button" dataOnly="0" labelOnly="1" outline="0" axis="axisRow" fieldPosition="3"/>
    </format>
    <format dxfId="27">
      <pivotArea dataOnly="0" labelOnly="1" outline="0" fieldPosition="0">
        <references count="1">
          <reference field="0" count="0"/>
        </references>
      </pivotArea>
    </format>
    <format dxfId="26">
      <pivotArea dataOnly="0" labelOnly="1" outline="0" fieldPosition="0">
        <references count="2">
          <reference field="0" count="1" selected="0">
            <x v="14"/>
          </reference>
          <reference field="13" count="1">
            <x v="7"/>
          </reference>
        </references>
      </pivotArea>
    </format>
    <format dxfId="25">
      <pivotArea dataOnly="0" labelOnly="1" outline="0" fieldPosition="0">
        <references count="3">
          <reference field="0" count="1" selected="0">
            <x v="14"/>
          </reference>
          <reference field="3" count="1">
            <x v="1"/>
          </reference>
          <reference field="13" count="1" selected="0">
            <x v="7"/>
          </reference>
        </references>
      </pivotArea>
    </format>
    <format dxfId="24">
      <pivotArea dataOnly="0" labelOnly="1" outline="0" fieldPosition="0">
        <references count="3">
          <reference field="0" count="1" selected="0">
            <x v="39"/>
          </reference>
          <reference field="3" count="1">
            <x v="62"/>
          </reference>
          <reference field="13" count="1" selected="0">
            <x v="7"/>
          </reference>
        </references>
      </pivotArea>
    </format>
    <format dxfId="23">
      <pivotArea dataOnly="0" labelOnly="1" outline="0" fieldPosition="0">
        <references count="4">
          <reference field="0" count="1" selected="0">
            <x v="14"/>
          </reference>
          <reference field="1" count="1">
            <x v="23"/>
          </reference>
          <reference field="3" count="1" selected="0">
            <x v="1"/>
          </reference>
          <reference field="13" count="1" selected="0">
            <x v="7"/>
          </reference>
        </references>
      </pivotArea>
    </format>
    <format dxfId="22">
      <pivotArea dataOnly="0" labelOnly="1" outline="0" fieldPosition="0">
        <references count="4">
          <reference field="0" count="1" selected="0">
            <x v="39"/>
          </reference>
          <reference field="1" count="1">
            <x v="5"/>
          </reference>
          <reference field="3" count="1" selected="0">
            <x v="62"/>
          </reference>
          <reference field="13" count="1" selected="0">
            <x v="7"/>
          </reference>
        </references>
      </pivotArea>
    </format>
  </formats>
  <pivotTableStyleInfo name="PivotStyleLight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EF75DB-753D-4542-B7F3-12C5ABB22834}" name="PivotMaterials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 fieldListSortAscending="1">
  <location ref="I3:M4" firstHeaderRow="1" firstDataRow="1" firstDataCol="5"/>
  <pivotFields count="13">
    <pivotField axis="axisRow" compact="0" outline="0" showAll="0" defaultSubtotal="0">
      <items count="99">
        <item h="1" x="3"/>
        <item h="1" x="2"/>
        <item h="1" x="6"/>
        <item h="1" x="8"/>
        <item h="1" x="7"/>
        <item h="1" x="47"/>
        <item h="1" x="9"/>
        <item h="1" x="11"/>
        <item h="1" x="10"/>
        <item h="1" x="5"/>
        <item h="1" x="4"/>
        <item h="1" x="37"/>
        <item h="1" x="38"/>
        <item h="1" x="39"/>
        <item h="1" m="1" x="97"/>
        <item h="1" m="1" x="96"/>
        <item h="1" m="1" x="98"/>
        <item h="1" x="40"/>
        <item h="1" x="90"/>
        <item h="1" x="80"/>
        <item h="1" x="88"/>
        <item h="1" x="79"/>
        <item h="1" x="86"/>
        <item h="1" x="84"/>
        <item h="1" x="82"/>
        <item h="1" x="81"/>
        <item h="1" x="85"/>
        <item h="1" x="83"/>
        <item h="1" x="89"/>
        <item h="1" x="87"/>
        <item h="1" x="42"/>
        <item h="1" x="76"/>
        <item h="1" x="72"/>
        <item h="1" x="68"/>
        <item h="1" x="66"/>
        <item h="1" x="78"/>
        <item h="1" x="77"/>
        <item h="1" x="67"/>
        <item h="1" x="74"/>
        <item h="1" x="70"/>
        <item h="1" x="69"/>
        <item h="1" x="73"/>
        <item h="1" x="71"/>
        <item h="1" x="75"/>
        <item h="1" x="41"/>
        <item h="1" x="13"/>
        <item h="1" x="23"/>
        <item h="1" x="21"/>
        <item x="0"/>
        <item h="1" x="12"/>
        <item h="1" x="26"/>
        <item h="1" x="18"/>
        <item h="1" x="25"/>
        <item h="1" x="59"/>
        <item h="1" x="50"/>
        <item h="1" x="51"/>
        <item h="1" x="49"/>
        <item h="1" x="43"/>
        <item h="1" x="44"/>
        <item h="1" x="54"/>
        <item h="1" x="53"/>
        <item h="1" x="52"/>
        <item h="1" x="35"/>
        <item h="1" x="36"/>
        <item h="1" x="28"/>
        <item h="1" x="15"/>
        <item h="1" x="27"/>
        <item h="1" x="17"/>
        <item h="1" x="64"/>
        <item h="1" x="48"/>
        <item h="1" x="22"/>
        <item h="1" x="29"/>
        <item h="1" x="1"/>
        <item h="1" x="19"/>
        <item h="1" x="20"/>
        <item h="1" x="46"/>
        <item h="1" x="45"/>
        <item h="1" x="24"/>
        <item h="1" x="63"/>
        <item h="1" x="58"/>
        <item h="1" x="56"/>
        <item h="1" x="57"/>
        <item h="1" x="62"/>
        <item h="1" x="30"/>
        <item h="1" x="14"/>
        <item h="1" x="55"/>
        <item h="1" x="16"/>
        <item h="1" x="65"/>
        <item h="1" m="1" x="95"/>
        <item h="1" x="92"/>
        <item h="1" x="31"/>
        <item h="1" x="32"/>
        <item h="1" x="33"/>
        <item h="1" x="34"/>
        <item h="1" x="60"/>
        <item h="1" x="61"/>
        <item h="1" x="93"/>
        <item h="1" x="91"/>
        <item h="1" x="94"/>
      </items>
    </pivotField>
    <pivotField compact="0" outline="0" subtotalTop="0" showAll="0" defaultSubtotal="0"/>
    <pivotField axis="axisRow" compact="0" outline="0" showAll="0" defaultSubtotal="0">
      <items count="76">
        <item x="40"/>
        <item x="64"/>
        <item x="65"/>
        <item x="54"/>
        <item x="42"/>
        <item x="55"/>
        <item x="66"/>
        <item x="56"/>
        <item x="57"/>
        <item x="67"/>
        <item x="51"/>
        <item x="58"/>
        <item x="68"/>
        <item x="28"/>
        <item x="69"/>
        <item x="70"/>
        <item x="61"/>
        <item x="59"/>
        <item x="16"/>
        <item x="10"/>
        <item x="29"/>
        <item x="47"/>
        <item x="71"/>
        <item x="25"/>
        <item x="48"/>
        <item x="72"/>
        <item x="49"/>
        <item x="12"/>
        <item x="38"/>
        <item x="73"/>
        <item x="18"/>
        <item x="26"/>
        <item x="50"/>
        <item x="60"/>
        <item x="17"/>
        <item x="30"/>
        <item x="27"/>
        <item x="31"/>
        <item x="32"/>
        <item x="1"/>
        <item x="14"/>
        <item x="9"/>
        <item x="43"/>
        <item x="15"/>
        <item x="13"/>
        <item x="53"/>
        <item x="62"/>
        <item x="44"/>
        <item x="0"/>
        <item x="8"/>
        <item x="63"/>
        <item x="20"/>
        <item x="24"/>
        <item x="45"/>
        <item x="22"/>
        <item x="36"/>
        <item x="21"/>
        <item x="23"/>
        <item x="33"/>
        <item x="41"/>
        <item x="11"/>
        <item x="4"/>
        <item x="46"/>
        <item x="52"/>
        <item x="34"/>
        <item x="7"/>
        <item x="19"/>
        <item x="5"/>
        <item x="37"/>
        <item x="2"/>
        <item x="39"/>
        <item x="3"/>
        <item x="6"/>
        <item x="35"/>
        <item x="74"/>
        <item x="75"/>
      </items>
    </pivotField>
    <pivotField compact="0" outline="0" showAll="0" defaultSubtotal="0"/>
    <pivotField compact="0" outline="0" showAll="0" defaultSubtotal="0"/>
    <pivotField axis="axisRow" compact="0" outline="0" subtotalTop="0" showAll="0" defaultSubtotal="0">
      <items count="15">
        <item x="9"/>
        <item x="2"/>
        <item x="1"/>
        <item m="1" x="14"/>
        <item x="0"/>
        <item x="3"/>
        <item m="1" x="12"/>
        <item x="4"/>
        <item x="8"/>
        <item x="6"/>
        <item x="5"/>
        <item x="11"/>
        <item x="7"/>
        <item m="1" x="13"/>
        <item x="10"/>
      </items>
    </pivotField>
    <pivotField compact="0" outline="0" showAll="0" defaultSubtotal="0"/>
    <pivotField axis="axisRow" compact="0" outline="0" subtotalTop="0" showAll="0" defaultSubtotal="0">
      <items count="95"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2"/>
        <item x="85"/>
        <item x="86"/>
        <item x="87"/>
        <item x="88"/>
        <item x="89"/>
        <item x="90"/>
        <item x="91"/>
        <item x="92"/>
        <item x="3"/>
        <item x="4"/>
        <item x="5"/>
        <item x="6"/>
        <item x="7"/>
        <item x="8"/>
        <item x="9"/>
        <item x="10"/>
        <item x="11"/>
        <item x="12"/>
        <item x="13"/>
        <item x="0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1"/>
        <item x="50"/>
        <item x="51"/>
        <item x="52"/>
        <item x="53"/>
        <item x="54"/>
        <item x="55"/>
        <item x="56"/>
        <item x="57"/>
        <item x="58"/>
        <item x="59"/>
        <item x="93"/>
        <item x="94"/>
      </items>
    </pivotField>
    <pivotField compact="0" outline="0" showAll="0" defaultSubtotal="0"/>
    <pivotField compact="0" outline="0" showAll="0" defaultSubtotal="0"/>
    <pivotField axis="axisRow" compact="0" outline="0" subtotalTop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</pivotFields>
  <rowFields count="5">
    <field x="0"/>
    <field x="5"/>
    <field x="2"/>
    <field x="10"/>
    <field x="7"/>
  </rowFields>
  <rowItems count="1">
    <i>
      <x v="48"/>
      <x v="4"/>
      <x v="48"/>
      <x/>
      <x v="45"/>
    </i>
  </rowItems>
  <colItems count="1">
    <i/>
  </colItems>
  <formats count="5">
    <format dxfId="37">
      <pivotArea type="all" dataOnly="0" outline="0" fieldPosition="0"/>
    </format>
    <format dxfId="36">
      <pivotArea field="0" type="button" dataOnly="0" labelOnly="1" outline="0" axis="axisRow" fieldPosition="0"/>
    </format>
    <format dxfId="35">
      <pivotArea field="5" type="button" dataOnly="0" labelOnly="1" outline="0" axis="axisRow" fieldPosition="1"/>
    </format>
    <format dxfId="34">
      <pivotArea field="2" type="button" dataOnly="0" labelOnly="1" outline="0" axis="axisRow" fieldPosition="2"/>
    </format>
    <format dxfId="33">
      <pivotArea dataOnly="0" labelOnly="1" outline="0" fieldPosition="0">
        <references count="1">
          <reference field="0" count="0"/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6B9D14-D72E-4B40-9F9A-4DF530BF0240}" name="PivotMech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 fieldListSortAscending="1">
  <location ref="A3:G30" firstHeaderRow="1" firstDataRow="1" firstDataCol="7"/>
  <pivotFields count="17">
    <pivotField compact="0" outline="0" subtotalTop="0" showAll="0" defaultSubtotal="0"/>
    <pivotField axis="axisRow" compact="0" outline="0" subtotalTop="0" showAll="0" defaultSubtotal="0">
      <items count="203">
        <item x="2"/>
        <item x="3"/>
        <item h="1" x="15"/>
        <item x="20"/>
        <item x="13"/>
        <item x="14"/>
        <item x="19"/>
        <item h="1" x="96"/>
        <item x="102"/>
        <item h="1" x="68"/>
        <item h="1" x="67"/>
        <item x="66"/>
        <item h="1" x="88"/>
        <item h="1" x="11"/>
        <item h="1" x="76"/>
        <item h="1" x="77"/>
        <item h="1" x="97"/>
        <item h="1" x="70"/>
        <item h="1" x="69"/>
        <item h="1" x="39"/>
        <item h="1" x="101"/>
        <item h="1" x="36"/>
        <item h="1" x="99"/>
        <item h="1" x="94"/>
        <item h="1" x="37"/>
        <item h="1" x="123"/>
        <item h="1" x="124"/>
        <item h="1" x="83"/>
        <item h="1" x="57"/>
        <item h="1" x="112"/>
        <item h="1" x="110"/>
        <item h="1" x="79"/>
        <item h="1" x="115"/>
        <item h="1" x="116"/>
        <item h="1" x="28"/>
        <item h="1" x="31"/>
        <item x="24"/>
        <item x="25"/>
        <item x="26"/>
        <item h="1" x="27"/>
        <item h="1" x="29"/>
        <item h="1" x="30"/>
        <item x="34"/>
        <item x="35"/>
        <item h="1" x="38"/>
        <item h="1" x="43"/>
        <item x="32"/>
        <item h="1" x="33"/>
        <item h="1" x="82"/>
        <item h="1" x="131"/>
        <item x="109"/>
        <item h="1" m="1" x="194"/>
        <item h="1" x="107"/>
        <item x="105"/>
        <item h="1" x="106"/>
        <item h="1" x="84"/>
        <item h="1" x="113"/>
        <item h="1" x="114"/>
        <item h="1" x="117"/>
        <item h="1" x="17"/>
        <item h="1" x="16"/>
        <item h="1" x="18"/>
        <item x="12"/>
        <item h="1" x="74"/>
        <item h="1" x="128"/>
        <item h="1" x="100"/>
        <item h="1" x="95"/>
        <item h="1" x="130"/>
        <item h="1" x="86"/>
        <item h="1" x="111"/>
        <item h="1" x="125"/>
        <item x="5"/>
        <item h="1" x="85"/>
        <item h="1" x="21"/>
        <item x="4"/>
        <item h="1" x="92"/>
        <item h="1" x="119"/>
        <item h="1" m="1" x="196"/>
        <item h="1" x="40"/>
        <item h="1" x="118"/>
        <item h="1" x="81"/>
        <item h="1" x="98"/>
        <item h="1" x="7"/>
        <item h="1" x="73"/>
        <item h="1" x="9"/>
        <item h="1" x="75"/>
        <item h="1" x="61"/>
        <item h="1" x="103"/>
        <item x="0"/>
        <item x="1"/>
        <item h="1" x="129"/>
        <item h="1" x="93"/>
        <item h="1" x="87"/>
        <item h="1" x="91"/>
        <item h="1" x="120"/>
        <item h="1" x="121"/>
        <item h="1" x="104"/>
        <item h="1" x="72"/>
        <item h="1" x="41"/>
        <item h="1" x="8"/>
        <item h="1" x="122"/>
        <item h="1" x="90"/>
        <item h="1" x="78"/>
        <item x="71"/>
        <item h="1" x="22"/>
        <item h="1" x="6"/>
        <item h="1" x="42"/>
        <item h="1" x="23"/>
        <item h="1" x="80"/>
        <item h="1" x="126"/>
        <item h="1" x="127"/>
        <item h="1" x="89"/>
        <item h="1" x="132"/>
        <item h="1" x="44"/>
        <item x="45"/>
        <item x="46"/>
        <item h="1" x="47"/>
        <item h="1" x="48"/>
        <item h="1" x="49"/>
        <item h="1" m="1" x="197"/>
        <item h="1" x="133"/>
        <item h="1" x="134"/>
        <item h="1" x="50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51"/>
        <item h="1" x="163"/>
        <item h="1" x="164"/>
        <item h="1" x="165"/>
        <item h="1" x="166"/>
        <item h="1" x="167"/>
        <item h="1" m="1" x="202"/>
        <item h="1" x="169"/>
        <item h="1" x="170"/>
        <item h="1" m="1" x="195"/>
        <item h="1" x="172"/>
        <item h="1" m="1" x="200"/>
        <item h="1" x="173"/>
        <item h="1" x="174"/>
        <item h="1" x="175"/>
        <item h="1" x="176"/>
        <item h="1" x="177"/>
        <item h="1" x="178"/>
        <item h="1" x="179"/>
        <item h="1" m="1" x="198"/>
        <item h="1" m="1" x="199"/>
        <item h="1" x="181"/>
        <item h="1" x="52"/>
        <item h="1" x="53"/>
        <item h="1" x="54"/>
        <item h="1" m="1" x="201"/>
        <item h="1" x="183"/>
        <item h="1" x="184"/>
        <item h="1" x="185"/>
        <item h="1" x="186"/>
        <item h="1" x="10"/>
        <item h="1" x="55"/>
        <item h="1" x="190"/>
        <item h="1" x="56"/>
        <item x="108"/>
        <item h="1" x="168"/>
        <item h="1" x="171"/>
        <item h="1" x="180"/>
        <item h="1" x="182"/>
        <item h="1" x="187"/>
        <item h="1" x="188"/>
        <item h="1" x="189"/>
        <item h="1" x="191"/>
        <item h="1" x="192"/>
        <item h="1" x="193"/>
        <item h="1" x="58"/>
        <item h="1" x="59"/>
        <item h="1" x="60"/>
        <item x="62"/>
        <item h="1" x="63"/>
        <item x="64"/>
        <item h="1" x="65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7">
        <item x="8"/>
        <item x="2"/>
        <item x="0"/>
        <item x="10"/>
        <item x="7"/>
        <item x="4"/>
        <item x="1"/>
        <item x="3"/>
        <item x="9"/>
        <item x="11"/>
        <item x="12"/>
        <item x="13"/>
        <item x="14"/>
        <item x="15"/>
        <item x="5"/>
        <item x="16"/>
        <item x="6"/>
      </items>
    </pivotField>
    <pivotField axis="axisRow" compact="0" outline="0" subtotalTop="0" showAll="0" defaultSubtotal="0">
      <items count="151">
        <item x="2"/>
        <item x="58"/>
        <item x="54"/>
        <item m="1" x="146"/>
        <item x="37"/>
        <item x="72"/>
        <item x="12"/>
        <item x="53"/>
        <item x="40"/>
        <item x="56"/>
        <item x="42"/>
        <item x="41"/>
        <item x="60"/>
        <item x="61"/>
        <item x="44"/>
        <item x="38"/>
        <item x="55"/>
        <item x="45"/>
        <item x="49"/>
        <item x="77"/>
        <item x="3"/>
        <item x="33"/>
        <item x="64"/>
        <item x="31"/>
        <item x="57"/>
        <item x="59"/>
        <item x="32"/>
        <item m="1" x="141"/>
        <item x="5"/>
        <item x="47"/>
        <item x="35"/>
        <item x="34"/>
        <item x="67"/>
        <item x="30"/>
        <item x="52"/>
        <item x="39"/>
        <item m="1" x="136"/>
        <item x="6"/>
        <item x="69"/>
        <item x="63"/>
        <item x="11"/>
        <item x="0"/>
        <item x="1"/>
        <item x="46"/>
        <item x="51"/>
        <item x="62"/>
        <item x="50"/>
        <item x="14"/>
        <item x="16"/>
        <item x="8"/>
        <item x="73"/>
        <item x="76"/>
        <item x="43"/>
        <item x="36"/>
        <item x="15"/>
        <item m="1" x="150"/>
        <item x="71"/>
        <item x="10"/>
        <item x="70"/>
        <item x="4"/>
        <item x="13"/>
        <item x="68"/>
        <item x="66"/>
        <item x="65"/>
        <item x="9"/>
        <item x="78"/>
        <item x="18"/>
        <item x="17"/>
        <item x="48"/>
        <item x="79"/>
        <item x="80"/>
        <item x="19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7"/>
        <item x="20"/>
        <item x="74"/>
        <item x="75"/>
        <item x="108"/>
        <item x="109"/>
        <item x="110"/>
        <item x="111"/>
        <item x="112"/>
        <item m="1" x="142"/>
        <item x="114"/>
        <item x="115"/>
        <item x="116"/>
        <item m="1" x="148"/>
        <item m="1" x="149"/>
        <item x="118"/>
        <item x="119"/>
        <item x="120"/>
        <item x="121"/>
        <item m="1" x="143"/>
        <item x="123"/>
        <item m="1" x="144"/>
        <item m="1" x="147"/>
        <item m="1" x="140"/>
        <item x="126"/>
        <item m="1" x="138"/>
        <item m="1" x="137"/>
        <item x="23"/>
        <item m="1" x="145"/>
        <item x="128"/>
        <item m="1" x="139"/>
        <item x="130"/>
        <item x="134"/>
        <item x="24"/>
        <item x="113"/>
        <item x="117"/>
        <item x="122"/>
        <item x="124"/>
        <item x="125"/>
        <item x="21"/>
        <item x="22"/>
        <item x="127"/>
        <item x="129"/>
        <item x="131"/>
        <item x="132"/>
        <item x="133"/>
        <item x="25"/>
        <item x="135"/>
        <item x="26"/>
        <item x="27"/>
        <item x="28"/>
        <item x="29"/>
      </items>
    </pivotField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48">
        <item x="29"/>
        <item x="73"/>
        <item x="21"/>
        <item x="63"/>
        <item x="22"/>
        <item x="69"/>
        <item x="70"/>
        <item x="16"/>
        <item x="74"/>
        <item x="67"/>
        <item x="18"/>
        <item x="68"/>
        <item x="71"/>
        <item x="76"/>
        <item x="75"/>
        <item x="12"/>
        <item m="1" x="147"/>
        <item x="9"/>
        <item x="8"/>
        <item x="90"/>
        <item x="77"/>
        <item m="1" x="143"/>
        <item x="79"/>
        <item x="72"/>
        <item x="50"/>
        <item x="2"/>
        <item x="11"/>
        <item x="37"/>
        <item x="80"/>
        <item x="19"/>
        <item x="85"/>
        <item x="17"/>
        <item x="31"/>
        <item x="84"/>
        <item x="35"/>
        <item x="36"/>
        <item x="83"/>
        <item x="66"/>
        <item x="61"/>
        <item x="78"/>
        <item x="82"/>
        <item x="57"/>
        <item x="55"/>
        <item x="32"/>
        <item x="20"/>
        <item x="38"/>
        <item m="1" x="144"/>
        <item x="13"/>
        <item x="4"/>
        <item x="33"/>
        <item x="3"/>
        <item x="14"/>
        <item x="24"/>
        <item x="126"/>
        <item x="39"/>
        <item m="1" x="140"/>
        <item x="15"/>
        <item x="23"/>
        <item x="47"/>
        <item x="54"/>
        <item x="49"/>
        <item x="5"/>
        <item x="34"/>
        <item x="7"/>
        <item x="87"/>
        <item x="10"/>
        <item x="88"/>
        <item x="43"/>
        <item x="25"/>
        <item x="0"/>
        <item x="64"/>
        <item x="44"/>
        <item x="48"/>
        <item x="58"/>
        <item m="1" x="141"/>
        <item x="81"/>
        <item x="60"/>
        <item x="30"/>
        <item x="1"/>
        <item x="6"/>
        <item x="53"/>
        <item x="59"/>
        <item x="62"/>
        <item x="51"/>
        <item x="45"/>
        <item x="41"/>
        <item x="46"/>
        <item x="40"/>
        <item x="52"/>
        <item x="86"/>
        <item x="65"/>
        <item x="91"/>
        <item x="26"/>
        <item x="42"/>
        <item x="56"/>
        <item x="92"/>
        <item x="93"/>
        <item m="1" x="145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36"/>
        <item x="122"/>
        <item x="123"/>
        <item x="130"/>
        <item x="132"/>
        <item x="134"/>
        <item x="27"/>
        <item m="1" x="146"/>
        <item x="28"/>
        <item x="89"/>
        <item x="124"/>
        <item x="125"/>
        <item x="127"/>
        <item x="128"/>
        <item x="129"/>
        <item m="1" x="142"/>
        <item x="131"/>
        <item x="133"/>
        <item x="135"/>
        <item x="137"/>
        <item x="138"/>
        <item x="139"/>
      </items>
    </pivotField>
    <pivotField axis="axisRow" compact="0" outline="0" subtotalTop="0" showAll="0" defaultSubtotal="0">
      <items count="2">
        <item x="0"/>
        <item x="1"/>
      </items>
    </pivotField>
    <pivotField axis="axisRow" compact="0" outline="0" subtotalTop="0" showAll="0" defaultSubtotal="0">
      <items count="200">
        <item x="66"/>
        <item x="3"/>
        <item x="122"/>
        <item x="123"/>
        <item x="38"/>
        <item x="39"/>
        <item x="40"/>
        <item x="124"/>
        <item x="125"/>
        <item x="126"/>
        <item x="127"/>
        <item x="128"/>
        <item x="4"/>
        <item x="129"/>
        <item x="41"/>
        <item x="42"/>
        <item x="43"/>
        <item x="130"/>
        <item x="131"/>
        <item x="132"/>
        <item x="133"/>
        <item x="134"/>
        <item x="44"/>
        <item x="5"/>
        <item x="45"/>
        <item x="46"/>
        <item x="47"/>
        <item x="48"/>
        <item x="49"/>
        <item x="135"/>
        <item x="136"/>
        <item x="50"/>
        <item x="137"/>
        <item x="6"/>
        <item x="138"/>
        <item x="139"/>
        <item x="140"/>
        <item x="141"/>
        <item x="142"/>
        <item x="143"/>
        <item x="144"/>
        <item x="145"/>
        <item x="146"/>
        <item x="147"/>
        <item x="72"/>
        <item x="148"/>
        <item x="149"/>
        <item x="150"/>
        <item x="151"/>
        <item x="152"/>
        <item x="153"/>
        <item x="154"/>
        <item x="155"/>
        <item x="156"/>
        <item x="157"/>
        <item x="7"/>
        <item x="158"/>
        <item x="159"/>
        <item x="160"/>
        <item x="161"/>
        <item x="162"/>
        <item x="163"/>
        <item x="164"/>
        <item x="73"/>
        <item x="8"/>
        <item x="74"/>
        <item x="67"/>
        <item x="9"/>
        <item x="10"/>
        <item x="75"/>
        <item x="76"/>
        <item x="77"/>
        <item x="78"/>
        <item x="79"/>
        <item x="80"/>
        <item x="81"/>
        <item x="82"/>
        <item x="68"/>
        <item x="83"/>
        <item x="11"/>
        <item x="84"/>
        <item x="85"/>
        <item x="86"/>
        <item x="87"/>
        <item x="88"/>
        <item x="89"/>
        <item x="90"/>
        <item x="91"/>
        <item x="69"/>
        <item x="12"/>
        <item x="13"/>
        <item x="14"/>
        <item x="15"/>
        <item x="92"/>
        <item x="93"/>
        <item x="94"/>
        <item x="95"/>
        <item x="70"/>
        <item x="96"/>
        <item x="97"/>
        <item x="98"/>
        <item x="99"/>
        <item x="100"/>
        <item x="101"/>
        <item x="16"/>
        <item x="17"/>
        <item x="18"/>
        <item x="19"/>
        <item x="0"/>
        <item x="20"/>
        <item x="102"/>
        <item x="103"/>
        <item x="21"/>
        <item x="104"/>
        <item x="105"/>
        <item x="106"/>
        <item x="107"/>
        <item x="1"/>
        <item x="108"/>
        <item x="109"/>
        <item x="110"/>
        <item x="22"/>
        <item x="111"/>
        <item x="23"/>
        <item x="112"/>
        <item x="113"/>
        <item x="24"/>
        <item x="25"/>
        <item x="71"/>
        <item x="26"/>
        <item x="27"/>
        <item x="28"/>
        <item x="29"/>
        <item x="30"/>
        <item x="31"/>
        <item x="32"/>
        <item x="33"/>
        <item x="34"/>
        <item x="35"/>
        <item x="2"/>
        <item x="114"/>
        <item x="115"/>
        <item x="116"/>
        <item x="117"/>
        <item x="36"/>
        <item x="37"/>
        <item x="118"/>
        <item x="119"/>
        <item x="120"/>
        <item x="121"/>
        <item x="51"/>
        <item x="165"/>
        <item x="166"/>
        <item x="167"/>
        <item x="168"/>
        <item x="169"/>
        <item x="170"/>
        <item x="171"/>
        <item x="172"/>
        <item x="173"/>
        <item x="174"/>
        <item m="1" x="199"/>
        <item x="175"/>
        <item x="176"/>
        <item x="177"/>
        <item x="178"/>
        <item x="179"/>
        <item x="180"/>
        <item x="181"/>
        <item m="1" x="198"/>
        <item x="182"/>
        <item x="183"/>
        <item x="52"/>
        <item x="53"/>
        <item x="54"/>
        <item x="184"/>
        <item x="185"/>
        <item x="186"/>
        <item x="187"/>
        <item x="188"/>
        <item x="55"/>
        <item x="193"/>
        <item x="56"/>
        <item x="189"/>
        <item x="190"/>
        <item x="191"/>
        <item x="192"/>
        <item m="1" x="197"/>
        <item x="57"/>
        <item x="58"/>
        <item x="59"/>
        <item x="60"/>
        <item x="61"/>
        <item x="62"/>
        <item x="63"/>
        <item x="64"/>
        <item x="65"/>
        <item x="194"/>
        <item x="195"/>
        <item x="196"/>
      </items>
    </pivotField>
    <pivotField axis="axisRow" compact="0" outline="0" subtotalTop="0" showAll="0" defaultSubtotal="0">
      <items count="4">
        <item x="1"/>
        <item x="0"/>
        <item m="1" x="3"/>
        <item x="2"/>
      </items>
    </pivotField>
    <pivotField compact="0" outline="0" subtotalTop="0" showAll="0" defaultSubtotal="0"/>
    <pivotField compact="0" outline="0" subtotalTop="0" showAll="0" defaultSubtotal="0"/>
  </pivotFields>
  <rowFields count="7">
    <field x="1"/>
    <field x="7"/>
    <field x="8"/>
    <field x="11"/>
    <field x="12"/>
    <field x="14"/>
    <field x="13"/>
  </rowFields>
  <rowItems count="27">
    <i>
      <x/>
      <x v="2"/>
      <x/>
      <x v="25"/>
      <x/>
      <x v="1"/>
      <x v="139"/>
    </i>
    <i>
      <x v="1"/>
      <x v="2"/>
      <x v="20"/>
      <x v="25"/>
      <x/>
      <x v="1"/>
      <x v="1"/>
    </i>
    <i>
      <x v="3"/>
      <x v="2"/>
      <x v="64"/>
      <x v="25"/>
      <x/>
      <x v="1"/>
      <x v="109"/>
    </i>
    <i>
      <x v="4"/>
      <x v="2"/>
      <x v="64"/>
      <x v="25"/>
      <x/>
      <x v="1"/>
      <x v="90"/>
    </i>
    <i>
      <x v="5"/>
      <x v="2"/>
      <x v="64"/>
      <x v="25"/>
      <x/>
      <x v="1"/>
      <x v="91"/>
    </i>
    <i>
      <x v="6"/>
      <x v="2"/>
      <x v="64"/>
      <x v="25"/>
      <x/>
      <x v="1"/>
      <x v="107"/>
    </i>
    <i>
      <x v="8"/>
      <x v="2"/>
      <x v="39"/>
      <x v="48"/>
      <x v="1"/>
      <x v="1"/>
      <x v="111"/>
    </i>
    <i>
      <x v="11"/>
      <x v="6"/>
      <x v="64"/>
      <x v="77"/>
      <x v="1"/>
      <x/>
      <x/>
    </i>
    <i>
      <x v="36"/>
      <x v="2"/>
      <x v="64"/>
      <x v="7"/>
      <x/>
      <x v="1"/>
      <x v="126"/>
    </i>
    <i>
      <x v="37"/>
      <x v="2"/>
      <x v="64"/>
      <x v="7"/>
      <x/>
      <x v="1"/>
      <x v="127"/>
    </i>
    <i>
      <x v="38"/>
      <x v="2"/>
      <x v="64"/>
      <x v="7"/>
      <x/>
      <x v="1"/>
      <x v="129"/>
    </i>
    <i>
      <x v="42"/>
      <x v="2"/>
      <x v="64"/>
      <x v="18"/>
      <x/>
      <x v="1"/>
      <x v="137"/>
    </i>
    <i>
      <x v="43"/>
      <x v="2"/>
      <x v="64"/>
      <x v="29"/>
      <x/>
      <x v="1"/>
      <x v="138"/>
    </i>
    <i>
      <x v="46"/>
      <x v="2"/>
      <x v="64"/>
      <x v="31"/>
      <x/>
      <x v="1"/>
      <x v="135"/>
    </i>
    <i>
      <x v="50"/>
      <x v="3"/>
      <x v="61"/>
      <x v="6"/>
      <x v="1"/>
      <x v="1"/>
      <x v="120"/>
    </i>
    <i>
      <x v="53"/>
      <x v="3"/>
      <x v="63"/>
      <x v="18"/>
      <x v="1"/>
      <x v="1"/>
      <x v="115"/>
    </i>
    <i>
      <x v="62"/>
      <x v="1"/>
      <x v="6"/>
      <x v="26"/>
      <x/>
      <x v="1"/>
      <x v="89"/>
    </i>
    <i>
      <x v="71"/>
      <x v="2"/>
      <x v="28"/>
      <x v="48"/>
      <x/>
      <x/>
      <x v="23"/>
    </i>
    <i>
      <x v="74"/>
      <x v="2"/>
      <x v="59"/>
      <x v="50"/>
      <x/>
      <x v="1"/>
      <x v="12"/>
    </i>
    <i>
      <x v="88"/>
      <x v="2"/>
      <x v="41"/>
      <x v="69"/>
      <x/>
      <x v="1"/>
      <x v="108"/>
    </i>
    <i>
      <x v="89"/>
      <x v="2"/>
      <x v="42"/>
      <x v="78"/>
      <x/>
      <x v="1"/>
      <x v="117"/>
    </i>
    <i>
      <x v="103"/>
      <x v="2"/>
      <x v="64"/>
      <x v="34"/>
      <x v="1"/>
      <x v="1"/>
      <x v="128"/>
    </i>
    <i>
      <x v="114"/>
      <x v="1"/>
      <x v="66"/>
      <x v="92"/>
      <x/>
      <x v="1"/>
      <x v="24"/>
    </i>
    <i>
      <x v="115"/>
      <x v="1"/>
      <x v="66"/>
      <x v="92"/>
      <x/>
      <x v="1"/>
      <x v="25"/>
    </i>
    <i>
      <x v="185"/>
      <x v="3"/>
      <x v="61"/>
      <x v="5"/>
      <x v="1"/>
      <x v="1"/>
      <x v="119"/>
    </i>
    <i>
      <x v="199"/>
      <x v="16"/>
      <x v="64"/>
      <x/>
      <x/>
      <x v="1"/>
      <x v="193"/>
    </i>
    <i>
      <x v="201"/>
      <x v="16"/>
      <x v="64"/>
      <x/>
      <x/>
      <x v="1"/>
      <x v="195"/>
    </i>
  </rowItems>
  <colItems count="1">
    <i/>
  </colItems>
  <formats count="22">
    <format dxfId="59">
      <pivotArea type="all" dataOnly="0" outline="0" fieldPosition="0"/>
    </format>
    <format dxfId="58">
      <pivotArea field="1" type="button" dataOnly="0" labelOnly="1" outline="0" axis="axisRow" fieldPosition="0"/>
    </format>
    <format dxfId="57">
      <pivotArea field="7" type="button" dataOnly="0" labelOnly="1" outline="0" axis="axisRow" fieldPosition="1"/>
    </format>
    <format dxfId="56">
      <pivotArea field="8" type="button" dataOnly="0" labelOnly="1" outline="0" axis="axisRow" fieldPosition="2"/>
    </format>
    <format dxfId="55">
      <pivotArea field="11" type="button" dataOnly="0" labelOnly="1" outline="0" axis="axisRow" fieldPosition="3"/>
    </format>
    <format dxfId="54">
      <pivotArea field="12" type="button" dataOnly="0" labelOnly="1" outline="0" axis="axisRow" fieldPosition="4"/>
    </format>
    <format dxfId="53">
      <pivotArea dataOnly="0" labelOnly="1" outline="0" fieldPosition="0">
        <references count="1">
          <reference field="1" count="0"/>
        </references>
      </pivotArea>
    </format>
    <format dxfId="52">
      <pivotArea dataOnly="0" labelOnly="1" outline="0" fieldPosition="0">
        <references count="2">
          <reference field="1" count="1" selected="0">
            <x v="5"/>
          </reference>
          <reference field="7" count="1">
            <x v="2"/>
          </reference>
        </references>
      </pivotArea>
    </format>
    <format dxfId="51">
      <pivotArea dataOnly="0" labelOnly="1" outline="0" fieldPosition="0">
        <references count="2">
          <reference field="1" count="1" selected="0">
            <x v="9"/>
          </reference>
          <reference field="7" count="1">
            <x v="6"/>
          </reference>
        </references>
      </pivotArea>
    </format>
    <format dxfId="50">
      <pivotArea dataOnly="0" labelOnly="1" outline="0" fieldPosition="0">
        <references count="2">
          <reference field="1" count="1" selected="0">
            <x v="14"/>
          </reference>
          <reference field="7" count="1">
            <x v="4"/>
          </reference>
        </references>
      </pivotArea>
    </format>
    <format dxfId="49">
      <pivotArea dataOnly="0" labelOnly="1" outline="0" fieldPosition="0">
        <references count="3">
          <reference field="1" count="1" selected="0">
            <x v="5"/>
          </reference>
          <reference field="7" count="1" selected="0">
            <x v="2"/>
          </reference>
          <reference field="8" count="1">
            <x v="64"/>
          </reference>
        </references>
      </pivotArea>
    </format>
    <format dxfId="48">
      <pivotArea dataOnly="0" labelOnly="1" outline="0" fieldPosition="0">
        <references count="3">
          <reference field="1" count="1" selected="0">
            <x v="9"/>
          </reference>
          <reference field="7" count="1" selected="0">
            <x v="6"/>
          </reference>
          <reference field="8" count="1">
            <x v="23"/>
          </reference>
        </references>
      </pivotArea>
    </format>
    <format dxfId="47">
      <pivotArea dataOnly="0" labelOnly="1" outline="0" fieldPosition="0">
        <references count="3">
          <reference field="1" count="1" selected="0">
            <x v="11"/>
          </reference>
          <reference field="7" count="1" selected="0">
            <x v="6"/>
          </reference>
          <reference field="8" count="1">
            <x v="64"/>
          </reference>
        </references>
      </pivotArea>
    </format>
    <format dxfId="46">
      <pivotArea dataOnly="0" labelOnly="1" outline="0" fieldPosition="0">
        <references count="3">
          <reference field="1" count="1" selected="0">
            <x v="14"/>
          </reference>
          <reference field="7" count="1" selected="0">
            <x v="4"/>
          </reference>
          <reference field="8" count="1">
            <x v="15"/>
          </reference>
        </references>
      </pivotArea>
    </format>
    <format dxfId="45">
      <pivotArea dataOnly="0" labelOnly="1" outline="0" fieldPosition="0">
        <references count="4">
          <reference field="1" count="1" selected="0">
            <x v="5"/>
          </reference>
          <reference field="7" count="1" selected="0">
            <x v="2"/>
          </reference>
          <reference field="8" count="1" selected="0">
            <x v="64"/>
          </reference>
          <reference field="11" count="1">
            <x v="25"/>
          </reference>
        </references>
      </pivotArea>
    </format>
    <format dxfId="44">
      <pivotArea dataOnly="0" labelOnly="1" outline="0" fieldPosition="0">
        <references count="4">
          <reference field="1" count="1" selected="0">
            <x v="9"/>
          </reference>
          <reference field="7" count="1" selected="0">
            <x v="6"/>
          </reference>
          <reference field="8" count="1" selected="0">
            <x v="23"/>
          </reference>
          <reference field="11" count="1">
            <x v="43"/>
          </reference>
        </references>
      </pivotArea>
    </format>
    <format dxfId="43">
      <pivotArea dataOnly="0" labelOnly="1" outline="0" fieldPosition="0">
        <references count="4">
          <reference field="1" count="1" selected="0">
            <x v="11"/>
          </reference>
          <reference field="7" count="1" selected="0">
            <x v="6"/>
          </reference>
          <reference field="8" count="1" selected="0">
            <x v="64"/>
          </reference>
          <reference field="11" count="1">
            <x v="77"/>
          </reference>
        </references>
      </pivotArea>
    </format>
    <format dxfId="42">
      <pivotArea dataOnly="0" labelOnly="1" outline="0" fieldPosition="0">
        <references count="4">
          <reference field="1" count="1" selected="0">
            <x v="14"/>
          </reference>
          <reference field="7" count="1" selected="0">
            <x v="4"/>
          </reference>
          <reference field="8" count="1" selected="0">
            <x v="15"/>
          </reference>
          <reference field="11" count="1">
            <x v="87"/>
          </reference>
        </references>
      </pivotArea>
    </format>
    <format dxfId="41">
      <pivotArea dataOnly="0" labelOnly="1" outline="0" fieldPosition="0">
        <references count="5">
          <reference field="1" count="1" selected="0">
            <x v="5"/>
          </reference>
          <reference field="7" count="1" selected="0">
            <x v="2"/>
          </reference>
          <reference field="8" count="1" selected="0">
            <x v="64"/>
          </reference>
          <reference field="11" count="1" selected="0">
            <x v="25"/>
          </reference>
          <reference field="12" count="1">
            <x v="0"/>
          </reference>
        </references>
      </pivotArea>
    </format>
    <format dxfId="40">
      <pivotArea dataOnly="0" labelOnly="1" outline="0" fieldPosition="0">
        <references count="5">
          <reference field="1" count="1" selected="0">
            <x v="9"/>
          </reference>
          <reference field="7" count="1" selected="0">
            <x v="6"/>
          </reference>
          <reference field="8" count="1" selected="0">
            <x v="23"/>
          </reference>
          <reference field="11" count="1" selected="0">
            <x v="43"/>
          </reference>
          <reference field="12" count="1">
            <x v="1"/>
          </reference>
        </references>
      </pivotArea>
    </format>
    <format dxfId="39">
      <pivotArea dataOnly="0" labelOnly="1" outline="0" fieldPosition="0">
        <references count="5">
          <reference field="1" count="1" selected="0">
            <x v="11"/>
          </reference>
          <reference field="7" count="1" selected="0">
            <x v="6"/>
          </reference>
          <reference field="8" count="1" selected="0">
            <x v="64"/>
          </reference>
          <reference field="11" count="1" selected="0">
            <x v="77"/>
          </reference>
          <reference field="12" count="1">
            <x v="1"/>
          </reference>
        </references>
      </pivotArea>
    </format>
    <format dxfId="38">
      <pivotArea dataOnly="0" labelOnly="1" outline="0" fieldPosition="0">
        <references count="5">
          <reference field="1" count="1" selected="0">
            <x v="14"/>
          </reference>
          <reference field="7" count="1" selected="0">
            <x v="4"/>
          </reference>
          <reference field="8" count="1" selected="0">
            <x v="15"/>
          </reference>
          <reference field="11" count="1" selected="0">
            <x v="87"/>
          </reference>
          <reference field="12" count="1">
            <x v="1"/>
          </reference>
        </references>
      </pivotArea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CD6D58-4BEF-4CE4-9B40-E32B3C7CBBCA}" name="PurchaseOrder" displayName="PurchaseOrder" ref="D6:K40" totalsRowShown="0" headerRowDxfId="21" dataDxfId="20">
  <tableColumns count="8">
    <tableColumn id="1" xr3:uid="{E4C7CB5C-978F-4A54-87A6-D7E63A3E0F32}" name="Description" dataDxfId="19"/>
    <tableColumn id="5" xr3:uid="{C374842F-0F68-46B6-AE8D-A5D1F5A337DE}" name="Specs/Category" dataDxfId="18"/>
    <tableColumn id="2" xr3:uid="{2AA3720C-9BD1-4290-9051-62B724EA7805}" name="Quantity" dataDxfId="17"/>
    <tableColumn id="3" xr3:uid="{3CD2CFA6-0EF1-4B10-9CCB-74FB7B339888}" name="Unit $" dataDxfId="16"/>
    <tableColumn id="7" xr3:uid="{44FA0C7C-5114-4A10-B37F-0C74F9B6505A}" name="Out of Stock" dataDxfId="15"/>
    <tableColumn id="8" xr3:uid="{96BEB8F9-9A73-489C-B041-0C3365B3657D}" name="ID" dataDxfId="14"/>
    <tableColumn id="6" xr3:uid="{A8E2349F-7264-4182-A782-BE8BAA18F483}" name="Terms" dataDxfId="13"/>
    <tableColumn id="4" xr3:uid="{86AFD58A-3C5E-4B80-9BFF-56A6D7B7CC17}" name="Subtotal" dataDxfId="12">
      <calculatedColumnFormula>PurchaseOrder[[#This Row],[Unit $]]*PurchaseOrder[[#This Row],[Quantity]]</calculatedColumnFormula>
    </tableColumn>
  </tableColumns>
  <tableStyleInfo name="TableStyleMedium20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U372"/>
  <sheetViews>
    <sheetView topLeftCell="K1" zoomScale="92" zoomScaleNormal="37" workbookViewId="0">
      <selection activeCell="U4" sqref="U4:U11"/>
      <pivotSelection pane="bottomRight" showHeader="1" click="1" r:id="rId1">
        <pivotArea dataOnly="0" outline="0" fieldPosition="0">
          <references count="1">
            <reference field="10" count="0"/>
          </references>
        </pivotArea>
      </pivotSelection>
    </sheetView>
  </sheetViews>
  <sheetFormatPr defaultColWidth="9.1171875" defaultRowHeight="14.35"/>
  <cols>
    <col min="1" max="1" width="52.41015625" style="1" customWidth="1"/>
    <col min="2" max="2" width="30.29296875" style="1" customWidth="1"/>
    <col min="3" max="3" width="70.29296875" style="1" customWidth="1"/>
    <col min="4" max="4" width="25.1171875" style="1" customWidth="1"/>
    <col min="5" max="5" width="17.87890625" style="1" customWidth="1"/>
    <col min="6" max="6" width="16.87890625" style="1" bestFit="1" customWidth="1"/>
    <col min="7" max="7" width="22.5859375" style="1" bestFit="1" customWidth="1"/>
    <col min="8" max="8" width="25" style="1" customWidth="1"/>
    <col min="9" max="9" width="55.29296875" style="1" customWidth="1"/>
    <col min="10" max="10" width="23.87890625" style="1" customWidth="1"/>
    <col min="11" max="11" width="20.29296875" style="1" customWidth="1"/>
    <col min="12" max="12" width="16.41015625" style="1" customWidth="1"/>
    <col min="13" max="13" width="15.46875" style="1" bestFit="1" customWidth="1"/>
    <col min="14" max="14" width="0.29296875" style="1" customWidth="1"/>
    <col min="15" max="15" width="12.5859375" style="1" customWidth="1"/>
    <col min="16" max="16" width="40.29296875" style="1" customWidth="1"/>
    <col min="17" max="17" width="24.41015625" style="1" customWidth="1"/>
    <col min="18" max="18" width="14.703125" style="1" customWidth="1"/>
    <col min="19" max="19" width="9" style="1" bestFit="1" customWidth="1"/>
    <col min="20" max="20" width="18.29296875" style="1" bestFit="1" customWidth="1"/>
    <col min="21" max="21" width="25.234375" style="1" bestFit="1" customWidth="1"/>
    <col min="22" max="16384" width="9.1171875" style="1"/>
  </cols>
  <sheetData>
    <row r="1" spans="1:21" ht="35.1" customHeight="1">
      <c r="A1" s="22"/>
      <c r="B1" s="22"/>
      <c r="C1" s="22"/>
      <c r="D1" s="22"/>
      <c r="E1" s="22"/>
      <c r="F1" s="22"/>
      <c r="G1" s="22"/>
      <c r="I1" s="16" t="str" cm="1">
        <f t="array" ref="I1">IFERROR(INDEX(#REF!,SMALL(IF("*"&amp;#REF!&amp;"*"=#REF!,ROW(#REF!)- MIN(ROW(#REF!))+1,""), ROW()-2)),"")</f>
        <v/>
      </c>
      <c r="J1" s="16"/>
      <c r="K1" s="16"/>
      <c r="L1" s="16"/>
      <c r="M1" s="16"/>
      <c r="N1" s="12"/>
      <c r="O1"/>
      <c r="P1" s="21"/>
      <c r="Q1" s="21"/>
      <c r="R1" s="21"/>
      <c r="S1" s="21"/>
      <c r="T1" s="21"/>
      <c r="U1" s="21"/>
    </row>
    <row r="2" spans="1:21" ht="22">
      <c r="A2" s="23" t="s">
        <v>0</v>
      </c>
      <c r="B2" s="24"/>
      <c r="C2" s="24"/>
      <c r="D2" s="24"/>
      <c r="E2" s="24"/>
      <c r="F2" s="24"/>
      <c r="G2" s="24"/>
      <c r="I2" s="17" t="s">
        <v>1</v>
      </c>
      <c r="J2" s="18"/>
      <c r="K2" s="18"/>
      <c r="L2" s="18"/>
      <c r="M2" s="18"/>
      <c r="N2" s="13"/>
      <c r="P2" s="19" t="s">
        <v>2</v>
      </c>
      <c r="Q2" s="20"/>
      <c r="R2" s="20"/>
      <c r="S2" s="20"/>
      <c r="T2" s="20"/>
      <c r="U2" s="20"/>
    </row>
    <row r="3" spans="1:21" ht="18">
      <c r="A3" s="8" t="s">
        <v>3</v>
      </c>
      <c r="B3" s="8" t="s">
        <v>4</v>
      </c>
      <c r="C3" s="8" t="s">
        <v>5</v>
      </c>
      <c r="D3" s="8" t="s">
        <v>6</v>
      </c>
      <c r="E3" s="8" t="s">
        <v>7</v>
      </c>
      <c r="F3" s="8" t="s">
        <v>8</v>
      </c>
      <c r="G3" s="8" t="s">
        <v>97</v>
      </c>
      <c r="H3" s="8"/>
      <c r="I3" s="8" t="s">
        <v>3</v>
      </c>
      <c r="J3" s="8" t="s">
        <v>9</v>
      </c>
      <c r="K3" s="8" t="s">
        <v>10</v>
      </c>
      <c r="L3" s="8" t="s">
        <v>11</v>
      </c>
      <c r="M3" s="8" t="s">
        <v>123</v>
      </c>
      <c r="N3"/>
      <c r="O3" s="8"/>
      <c r="P3" s="8" t="s">
        <v>3</v>
      </c>
      <c r="Q3" s="8" t="s">
        <v>4</v>
      </c>
      <c r="R3" s="8" t="s">
        <v>12</v>
      </c>
      <c r="S3" s="8" t="s">
        <v>10</v>
      </c>
      <c r="T3" s="8" t="s">
        <v>11</v>
      </c>
      <c r="U3" s="8" t="s">
        <v>88</v>
      </c>
    </row>
    <row r="4" spans="1:21" ht="18">
      <c r="A4" s="9" t="s">
        <v>13</v>
      </c>
      <c r="B4" s="9" t="s">
        <v>14</v>
      </c>
      <c r="C4" s="9" t="s">
        <v>15</v>
      </c>
      <c r="D4" s="9">
        <v>0.33</v>
      </c>
      <c r="E4" s="9" t="s">
        <v>16</v>
      </c>
      <c r="F4" s="9" t="s">
        <v>17</v>
      </c>
      <c r="G4" s="9" t="s">
        <v>98</v>
      </c>
      <c r="H4" s="9"/>
      <c r="I4" s="9" t="s">
        <v>125</v>
      </c>
      <c r="J4" s="9" t="s">
        <v>18</v>
      </c>
      <c r="K4" s="9">
        <v>2.61</v>
      </c>
      <c r="L4" s="9" t="s">
        <v>17</v>
      </c>
      <c r="M4" s="9" t="s">
        <v>126</v>
      </c>
      <c r="N4"/>
      <c r="O4" s="9"/>
      <c r="P4" s="9" t="s">
        <v>48</v>
      </c>
      <c r="Q4" s="9" t="s">
        <v>33</v>
      </c>
      <c r="R4" s="9" t="s">
        <v>17</v>
      </c>
      <c r="S4" s="9">
        <v>0.08</v>
      </c>
      <c r="T4" s="9" t="s">
        <v>17</v>
      </c>
      <c r="U4" s="9" t="s">
        <v>89</v>
      </c>
    </row>
    <row r="5" spans="1:21" ht="18">
      <c r="A5" s="9" t="s">
        <v>20</v>
      </c>
      <c r="B5" s="9" t="s">
        <v>14</v>
      </c>
      <c r="C5" s="9" t="s">
        <v>21</v>
      </c>
      <c r="D5" s="9">
        <v>0.33</v>
      </c>
      <c r="E5" s="9" t="s">
        <v>16</v>
      </c>
      <c r="F5" s="9" t="s">
        <v>17</v>
      </c>
      <c r="G5" s="9" t="s">
        <v>99</v>
      </c>
      <c r="H5" s="9"/>
      <c r="I5"/>
      <c r="J5"/>
      <c r="K5"/>
      <c r="L5"/>
      <c r="M5"/>
      <c r="N5"/>
      <c r="O5" s="10"/>
      <c r="P5" s="9" t="s">
        <v>49</v>
      </c>
      <c r="Q5" s="9" t="s">
        <v>33</v>
      </c>
      <c r="R5" s="9" t="s">
        <v>50</v>
      </c>
      <c r="S5" s="9">
        <v>0.09</v>
      </c>
      <c r="T5" s="9" t="s">
        <v>17</v>
      </c>
      <c r="U5" s="9" t="s">
        <v>90</v>
      </c>
    </row>
    <row r="6" spans="1:21" ht="18">
      <c r="A6" s="9" t="s">
        <v>22</v>
      </c>
      <c r="B6" s="9" t="s">
        <v>14</v>
      </c>
      <c r="C6" s="9" t="s">
        <v>17</v>
      </c>
      <c r="D6" s="9">
        <v>0.33</v>
      </c>
      <c r="E6" s="9" t="s">
        <v>16</v>
      </c>
      <c r="F6" s="9" t="s">
        <v>17</v>
      </c>
      <c r="G6" s="9" t="s">
        <v>100</v>
      </c>
      <c r="H6" s="9"/>
      <c r="I6"/>
      <c r="J6"/>
      <c r="K6"/>
      <c r="L6"/>
      <c r="M6"/>
      <c r="N6"/>
      <c r="O6" s="10"/>
      <c r="P6" s="9" t="s">
        <v>53</v>
      </c>
      <c r="Q6" s="9" t="s">
        <v>26</v>
      </c>
      <c r="R6" s="9" t="s">
        <v>54</v>
      </c>
      <c r="S6" s="9">
        <v>0.12</v>
      </c>
      <c r="T6" s="9" t="s">
        <v>17</v>
      </c>
      <c r="U6" s="9" t="s">
        <v>91</v>
      </c>
    </row>
    <row r="7" spans="1:21" ht="18">
      <c r="A7" s="9" t="s">
        <v>24</v>
      </c>
      <c r="B7" s="9" t="s">
        <v>14</v>
      </c>
      <c r="C7" s="9" t="s">
        <v>17</v>
      </c>
      <c r="D7" s="9">
        <v>0.33</v>
      </c>
      <c r="E7" s="9" t="s">
        <v>16</v>
      </c>
      <c r="F7" s="9" t="s">
        <v>17</v>
      </c>
      <c r="G7" s="9" t="s">
        <v>101</v>
      </c>
      <c r="H7" s="9"/>
      <c r="I7"/>
      <c r="J7"/>
      <c r="K7"/>
      <c r="L7"/>
      <c r="M7"/>
      <c r="N7"/>
      <c r="O7" s="10"/>
      <c r="P7" s="9" t="s">
        <v>55</v>
      </c>
      <c r="Q7" s="9" t="s">
        <v>26</v>
      </c>
      <c r="R7" s="9" t="s">
        <v>56</v>
      </c>
      <c r="S7" s="9">
        <v>7.0000000000000007E-2</v>
      </c>
      <c r="T7" s="9" t="s">
        <v>17</v>
      </c>
      <c r="U7" s="9" t="s">
        <v>92</v>
      </c>
    </row>
    <row r="8" spans="1:21" ht="18">
      <c r="A8" s="9" t="s">
        <v>25</v>
      </c>
      <c r="B8" s="9" t="s">
        <v>14</v>
      </c>
      <c r="C8" s="9" t="s">
        <v>17</v>
      </c>
      <c r="D8" s="9">
        <v>0.33</v>
      </c>
      <c r="E8" s="9" t="s">
        <v>16</v>
      </c>
      <c r="F8" s="9" t="s">
        <v>17</v>
      </c>
      <c r="G8" s="9" t="s">
        <v>102</v>
      </c>
      <c r="H8" s="9"/>
      <c r="I8"/>
      <c r="J8"/>
      <c r="K8"/>
      <c r="L8"/>
      <c r="M8"/>
      <c r="N8"/>
      <c r="O8" s="10"/>
      <c r="P8" s="9" t="s">
        <v>59</v>
      </c>
      <c r="Q8" s="9" t="s">
        <v>26</v>
      </c>
      <c r="R8" s="9" t="s">
        <v>60</v>
      </c>
      <c r="S8" s="9">
        <v>0.12</v>
      </c>
      <c r="T8" s="9" t="s">
        <v>17</v>
      </c>
      <c r="U8" s="9" t="s">
        <v>93</v>
      </c>
    </row>
    <row r="9" spans="1:21" ht="18">
      <c r="A9" s="9" t="s">
        <v>27</v>
      </c>
      <c r="B9" s="9" t="s">
        <v>14</v>
      </c>
      <c r="C9" s="9" t="s">
        <v>17</v>
      </c>
      <c r="D9" s="9">
        <v>0.33</v>
      </c>
      <c r="E9" s="9" t="s">
        <v>16</v>
      </c>
      <c r="F9" s="9" t="s">
        <v>17</v>
      </c>
      <c r="G9" s="9" t="s">
        <v>103</v>
      </c>
      <c r="H9" s="9"/>
      <c r="I9"/>
      <c r="J9"/>
      <c r="K9"/>
      <c r="L9"/>
      <c r="M9"/>
      <c r="N9"/>
      <c r="O9" s="10"/>
      <c r="P9" s="9" t="s">
        <v>61</v>
      </c>
      <c r="Q9" s="9" t="s">
        <v>26</v>
      </c>
      <c r="R9" s="9" t="s">
        <v>62</v>
      </c>
      <c r="S9" s="9">
        <v>0.14000000000000001</v>
      </c>
      <c r="T9" s="9" t="s">
        <v>17</v>
      </c>
      <c r="U9" s="9" t="s">
        <v>94</v>
      </c>
    </row>
    <row r="10" spans="1:21" ht="18">
      <c r="A10" s="9" t="s">
        <v>28</v>
      </c>
      <c r="B10" s="9" t="s">
        <v>14</v>
      </c>
      <c r="C10" s="9" t="s">
        <v>29</v>
      </c>
      <c r="D10" s="9">
        <v>1.18</v>
      </c>
      <c r="E10" s="9" t="s">
        <v>7</v>
      </c>
      <c r="F10" s="9" t="s">
        <v>17</v>
      </c>
      <c r="G10" s="9" t="s">
        <v>104</v>
      </c>
      <c r="H10" s="9"/>
      <c r="I10"/>
      <c r="J10"/>
      <c r="K10"/>
      <c r="L10"/>
      <c r="M10"/>
      <c r="N10"/>
      <c r="P10" s="9" t="s">
        <v>63</v>
      </c>
      <c r="Q10" s="9" t="s">
        <v>26</v>
      </c>
      <c r="R10" s="9" t="s">
        <v>64</v>
      </c>
      <c r="S10" s="9">
        <v>0.09</v>
      </c>
      <c r="T10" s="9" t="s">
        <v>32</v>
      </c>
      <c r="U10" s="9" t="s">
        <v>95</v>
      </c>
    </row>
    <row r="11" spans="1:21" ht="18">
      <c r="A11" s="9" t="s">
        <v>31</v>
      </c>
      <c r="B11" s="9" t="s">
        <v>30</v>
      </c>
      <c r="C11" s="9" t="s">
        <v>17</v>
      </c>
      <c r="D11" s="9">
        <v>4.32</v>
      </c>
      <c r="E11" s="9" t="s">
        <v>7</v>
      </c>
      <c r="F11" s="9" t="s">
        <v>32</v>
      </c>
      <c r="G11" s="9" t="s">
        <v>105</v>
      </c>
      <c r="H11" s="9"/>
      <c r="I11"/>
      <c r="J11"/>
      <c r="K11"/>
      <c r="L11"/>
      <c r="M11"/>
      <c r="N11"/>
      <c r="P11" s="9" t="s">
        <v>65</v>
      </c>
      <c r="Q11" s="9" t="s">
        <v>23</v>
      </c>
      <c r="R11" s="9" t="s">
        <v>50</v>
      </c>
      <c r="S11" s="9">
        <v>0.02</v>
      </c>
      <c r="T11" s="9" t="s">
        <v>17</v>
      </c>
      <c r="U11" s="9" t="s">
        <v>96</v>
      </c>
    </row>
    <row r="12" spans="1:21" ht="18">
      <c r="A12" s="9" t="s">
        <v>35</v>
      </c>
      <c r="B12" s="9" t="s">
        <v>14</v>
      </c>
      <c r="C12" s="9" t="s">
        <v>17</v>
      </c>
      <c r="D12" s="9">
        <v>7.0000000000000007E-2</v>
      </c>
      <c r="E12" s="9" t="s">
        <v>16</v>
      </c>
      <c r="F12" s="9" t="s">
        <v>17</v>
      </c>
      <c r="G12" s="9" t="s">
        <v>106</v>
      </c>
      <c r="H12" s="9"/>
      <c r="I12"/>
      <c r="J12"/>
      <c r="K12"/>
      <c r="L12"/>
      <c r="M12"/>
      <c r="N12"/>
      <c r="P12"/>
      <c r="Q12"/>
      <c r="R12"/>
      <c r="S12"/>
      <c r="T12"/>
      <c r="U12"/>
    </row>
    <row r="13" spans="1:21" ht="18">
      <c r="A13" s="9" t="s">
        <v>36</v>
      </c>
      <c r="B13" s="9" t="s">
        <v>14</v>
      </c>
      <c r="C13" s="9" t="s">
        <v>17</v>
      </c>
      <c r="D13" s="9">
        <v>7.0000000000000007E-2</v>
      </c>
      <c r="E13" s="9" t="s">
        <v>16</v>
      </c>
      <c r="F13" s="9" t="s">
        <v>17</v>
      </c>
      <c r="G13" s="9" t="s">
        <v>107</v>
      </c>
      <c r="H13" s="9"/>
      <c r="I13"/>
      <c r="J13"/>
      <c r="K13"/>
      <c r="L13"/>
      <c r="M13"/>
      <c r="N13"/>
      <c r="P13"/>
      <c r="Q13"/>
      <c r="R13"/>
      <c r="S13"/>
      <c r="T13"/>
      <c r="U13"/>
    </row>
    <row r="14" spans="1:21" ht="18">
      <c r="A14" s="9" t="s">
        <v>37</v>
      </c>
      <c r="B14" s="9" t="s">
        <v>14</v>
      </c>
      <c r="C14" s="9" t="s">
        <v>17</v>
      </c>
      <c r="D14" s="9">
        <v>7.0000000000000007E-2</v>
      </c>
      <c r="E14" s="9" t="s">
        <v>16</v>
      </c>
      <c r="F14" s="9" t="s">
        <v>17</v>
      </c>
      <c r="G14" s="9" t="s">
        <v>108</v>
      </c>
      <c r="H14" s="9"/>
      <c r="I14"/>
      <c r="J14"/>
      <c r="K14"/>
      <c r="L14"/>
      <c r="M14"/>
      <c r="N14"/>
      <c r="P14"/>
      <c r="Q14"/>
      <c r="R14"/>
      <c r="S14"/>
      <c r="T14"/>
      <c r="U14"/>
    </row>
    <row r="15" spans="1:21" ht="18">
      <c r="A15" s="9" t="s">
        <v>38</v>
      </c>
      <c r="B15" s="9" t="s">
        <v>14</v>
      </c>
      <c r="C15" s="9" t="s">
        <v>17</v>
      </c>
      <c r="D15" s="9">
        <v>0.2</v>
      </c>
      <c r="E15" s="9" t="s">
        <v>16</v>
      </c>
      <c r="F15" s="9" t="s">
        <v>17</v>
      </c>
      <c r="G15" s="9" t="s">
        <v>109</v>
      </c>
      <c r="H15" s="9"/>
      <c r="I15"/>
      <c r="J15"/>
      <c r="K15"/>
      <c r="L15"/>
      <c r="M15"/>
      <c r="N15"/>
      <c r="P15"/>
      <c r="Q15"/>
      <c r="R15"/>
      <c r="S15"/>
      <c r="T15"/>
      <c r="U15"/>
    </row>
    <row r="16" spans="1:21" ht="18">
      <c r="A16" s="9" t="s">
        <v>39</v>
      </c>
      <c r="B16" s="9" t="s">
        <v>14</v>
      </c>
      <c r="C16" s="9" t="s">
        <v>17</v>
      </c>
      <c r="D16" s="9">
        <v>0.42</v>
      </c>
      <c r="E16" s="9" t="s">
        <v>16</v>
      </c>
      <c r="F16" s="9" t="s">
        <v>17</v>
      </c>
      <c r="G16" s="9" t="s">
        <v>110</v>
      </c>
      <c r="H16" s="9"/>
      <c r="I16"/>
      <c r="J16"/>
      <c r="K16"/>
      <c r="L16"/>
      <c r="M16"/>
      <c r="N16"/>
      <c r="P16"/>
      <c r="Q16"/>
      <c r="R16"/>
      <c r="S16"/>
      <c r="T16"/>
      <c r="U16"/>
    </row>
    <row r="17" spans="1:21" ht="18">
      <c r="A17" s="9" t="s">
        <v>40</v>
      </c>
      <c r="B17" s="9" t="s">
        <v>14</v>
      </c>
      <c r="C17" s="9" t="s">
        <v>17</v>
      </c>
      <c r="D17" s="9">
        <v>0.44</v>
      </c>
      <c r="E17" s="9" t="s">
        <v>16</v>
      </c>
      <c r="F17" s="9" t="s">
        <v>17</v>
      </c>
      <c r="G17" s="9" t="s">
        <v>111</v>
      </c>
      <c r="H17" s="9"/>
      <c r="I17"/>
      <c r="J17"/>
      <c r="K17"/>
      <c r="L17"/>
      <c r="M17"/>
      <c r="N17"/>
      <c r="P17"/>
      <c r="Q17"/>
      <c r="R17"/>
      <c r="S17"/>
      <c r="T17"/>
      <c r="U17"/>
    </row>
    <row r="18" spans="1:21" ht="18">
      <c r="A18" s="9" t="s">
        <v>41</v>
      </c>
      <c r="B18" s="9" t="s">
        <v>42</v>
      </c>
      <c r="C18" s="9" t="s">
        <v>43</v>
      </c>
      <c r="D18" s="9">
        <v>6.6000000000000003E-2</v>
      </c>
      <c r="E18" s="9" t="s">
        <v>7</v>
      </c>
      <c r="F18" s="9" t="s">
        <v>17</v>
      </c>
      <c r="G18" s="9" t="s">
        <v>112</v>
      </c>
      <c r="H18" s="9"/>
      <c r="I18"/>
      <c r="J18"/>
      <c r="K18"/>
      <c r="L18"/>
      <c r="M18"/>
      <c r="N18"/>
      <c r="P18"/>
      <c r="Q18"/>
      <c r="R18"/>
      <c r="S18"/>
      <c r="T18"/>
      <c r="U18"/>
    </row>
    <row r="19" spans="1:21" ht="18">
      <c r="A19" s="9" t="s">
        <v>44</v>
      </c>
      <c r="B19" s="9" t="s">
        <v>42</v>
      </c>
      <c r="C19" s="9" t="s">
        <v>45</v>
      </c>
      <c r="D19" s="9">
        <v>0.2</v>
      </c>
      <c r="E19" s="9" t="s">
        <v>7</v>
      </c>
      <c r="F19" s="9" t="s">
        <v>17</v>
      </c>
      <c r="G19" s="9" t="s">
        <v>114</v>
      </c>
      <c r="H19" s="9"/>
      <c r="I19"/>
      <c r="J19"/>
      <c r="K19"/>
      <c r="L19"/>
      <c r="M19"/>
      <c r="N19"/>
      <c r="P19"/>
      <c r="Q19"/>
      <c r="R19"/>
      <c r="S19"/>
      <c r="T19"/>
      <c r="U19"/>
    </row>
    <row r="20" spans="1:21" ht="18">
      <c r="A20" s="9" t="s">
        <v>46</v>
      </c>
      <c r="B20" s="9" t="s">
        <v>34</v>
      </c>
      <c r="C20" s="9" t="s">
        <v>47</v>
      </c>
      <c r="D20" s="9">
        <v>0.35</v>
      </c>
      <c r="E20" s="9" t="s">
        <v>16</v>
      </c>
      <c r="F20" s="9" t="s">
        <v>17</v>
      </c>
      <c r="G20" s="9" t="s">
        <v>115</v>
      </c>
      <c r="H20" s="9"/>
      <c r="I20"/>
      <c r="J20"/>
      <c r="K20"/>
      <c r="L20"/>
      <c r="M20"/>
      <c r="N20"/>
      <c r="P20"/>
      <c r="Q20"/>
      <c r="R20"/>
      <c r="S20"/>
      <c r="T20"/>
      <c r="U20"/>
    </row>
    <row r="21" spans="1:21" ht="18">
      <c r="A21" s="9" t="s">
        <v>51</v>
      </c>
      <c r="B21" s="9" t="s">
        <v>14</v>
      </c>
      <c r="C21" s="9" t="s">
        <v>52</v>
      </c>
      <c r="D21" s="9">
        <v>1.18</v>
      </c>
      <c r="E21" s="9" t="s">
        <v>16</v>
      </c>
      <c r="F21" s="9" t="s">
        <v>32</v>
      </c>
      <c r="G21" s="9" t="s">
        <v>116</v>
      </c>
      <c r="H21" s="9"/>
      <c r="I21"/>
      <c r="J21"/>
      <c r="K21"/>
      <c r="L21"/>
      <c r="M21"/>
      <c r="N21"/>
      <c r="P21"/>
      <c r="Q21"/>
      <c r="R21"/>
      <c r="S21"/>
      <c r="T21"/>
      <c r="U21"/>
    </row>
    <row r="22" spans="1:21" ht="18">
      <c r="A22" s="9" t="s">
        <v>57</v>
      </c>
      <c r="B22" s="9" t="s">
        <v>14</v>
      </c>
      <c r="C22" s="9" t="s">
        <v>58</v>
      </c>
      <c r="D22" s="9">
        <v>1.21</v>
      </c>
      <c r="E22" s="9" t="s">
        <v>16</v>
      </c>
      <c r="F22" s="9" t="s">
        <v>17</v>
      </c>
      <c r="G22" s="9" t="s">
        <v>117</v>
      </c>
      <c r="H22" s="9"/>
      <c r="I22"/>
      <c r="J22"/>
      <c r="K22"/>
      <c r="L22"/>
      <c r="M22"/>
      <c r="N22"/>
      <c r="P22"/>
      <c r="Q22"/>
      <c r="R22"/>
      <c r="S22"/>
      <c r="T22"/>
      <c r="U22"/>
    </row>
    <row r="23" spans="1:21" ht="18">
      <c r="A23" s="9" t="s">
        <v>66</v>
      </c>
      <c r="B23" s="9" t="s">
        <v>14</v>
      </c>
      <c r="C23" s="9" t="s">
        <v>67</v>
      </c>
      <c r="D23" s="9">
        <v>2.72</v>
      </c>
      <c r="E23" s="9" t="s">
        <v>16</v>
      </c>
      <c r="F23" s="9" t="s">
        <v>17</v>
      </c>
      <c r="G23" s="9" t="s">
        <v>118</v>
      </c>
      <c r="H23" s="9"/>
      <c r="I23"/>
      <c r="J23"/>
      <c r="K23"/>
      <c r="L23"/>
      <c r="M23"/>
      <c r="N23"/>
      <c r="P23"/>
      <c r="Q23"/>
      <c r="R23"/>
      <c r="S23"/>
      <c r="T23"/>
      <c r="U23"/>
    </row>
    <row r="24" spans="1:21" ht="18">
      <c r="A24" s="9" t="s">
        <v>68</v>
      </c>
      <c r="B24" s="9" t="s">
        <v>14</v>
      </c>
      <c r="C24" s="9" t="s">
        <v>69</v>
      </c>
      <c r="D24" s="9">
        <v>4.6100000000000003</v>
      </c>
      <c r="E24" s="9" t="s">
        <v>16</v>
      </c>
      <c r="F24" s="9" t="s">
        <v>17</v>
      </c>
      <c r="G24" s="9" t="s">
        <v>119</v>
      </c>
      <c r="H24" s="9"/>
      <c r="I24"/>
      <c r="J24"/>
      <c r="K24"/>
      <c r="L24"/>
      <c r="M24"/>
      <c r="N24"/>
      <c r="P24"/>
      <c r="Q24"/>
      <c r="R24"/>
      <c r="S24"/>
      <c r="T24"/>
      <c r="U24"/>
    </row>
    <row r="25" spans="1:21" ht="18">
      <c r="A25" s="9" t="s">
        <v>70</v>
      </c>
      <c r="B25" s="9" t="s">
        <v>14</v>
      </c>
      <c r="C25" s="9" t="s">
        <v>17</v>
      </c>
      <c r="D25" s="9">
        <v>0.46600000000000003</v>
      </c>
      <c r="E25" s="9" t="s">
        <v>7</v>
      </c>
      <c r="F25" s="9" t="s">
        <v>17</v>
      </c>
      <c r="G25" s="9" t="s">
        <v>120</v>
      </c>
      <c r="H25" s="9"/>
      <c r="I25"/>
      <c r="J25"/>
      <c r="K25"/>
      <c r="L25"/>
      <c r="M25"/>
      <c r="N25"/>
      <c r="P25"/>
      <c r="Q25"/>
      <c r="R25"/>
      <c r="S25"/>
      <c r="T25"/>
      <c r="U25"/>
    </row>
    <row r="26" spans="1:21" ht="18">
      <c r="A26" s="9" t="s">
        <v>72</v>
      </c>
      <c r="B26" s="9" t="s">
        <v>34</v>
      </c>
      <c r="C26" s="9" t="s">
        <v>71</v>
      </c>
      <c r="D26" s="9">
        <v>0.01</v>
      </c>
      <c r="E26" s="9" t="s">
        <v>16</v>
      </c>
      <c r="F26" s="9" t="s">
        <v>17</v>
      </c>
      <c r="G26" s="9" t="s">
        <v>121</v>
      </c>
      <c r="H26" s="9"/>
      <c r="I26"/>
      <c r="J26"/>
      <c r="K26"/>
      <c r="L26"/>
      <c r="M26"/>
      <c r="N26"/>
      <c r="P26"/>
      <c r="Q26"/>
      <c r="R26"/>
      <c r="S26"/>
      <c r="T26"/>
      <c r="U26"/>
    </row>
    <row r="27" spans="1:21" ht="18">
      <c r="A27" s="9" t="s">
        <v>73</v>
      </c>
      <c r="B27" s="9" t="s">
        <v>34</v>
      </c>
      <c r="C27" s="9" t="s">
        <v>71</v>
      </c>
      <c r="D27" s="9">
        <v>0.01</v>
      </c>
      <c r="E27" s="9" t="s">
        <v>16</v>
      </c>
      <c r="F27" s="9" t="s">
        <v>17</v>
      </c>
      <c r="G27" s="9" t="s">
        <v>122</v>
      </c>
      <c r="H27" s="9"/>
      <c r="I27"/>
      <c r="J27"/>
      <c r="K27"/>
      <c r="L27"/>
      <c r="M27"/>
      <c r="N27"/>
      <c r="P27"/>
      <c r="Q27"/>
      <c r="R27"/>
      <c r="S27"/>
      <c r="T27"/>
      <c r="U27"/>
    </row>
    <row r="28" spans="1:21" ht="18">
      <c r="A28" s="9" t="s">
        <v>124</v>
      </c>
      <c r="B28" s="9" t="s">
        <v>42</v>
      </c>
      <c r="C28" s="9" t="s">
        <v>43</v>
      </c>
      <c r="D28" s="9">
        <v>6.4000000000000001E-2</v>
      </c>
      <c r="E28" s="9" t="s">
        <v>7</v>
      </c>
      <c r="F28" s="9" t="s">
        <v>17</v>
      </c>
      <c r="G28" s="9" t="s">
        <v>113</v>
      </c>
      <c r="H28" s="9"/>
      <c r="I28"/>
      <c r="J28"/>
      <c r="K28"/>
      <c r="L28"/>
      <c r="M28"/>
      <c r="N28"/>
      <c r="P28"/>
      <c r="Q28"/>
      <c r="R28"/>
      <c r="S28"/>
      <c r="T28"/>
      <c r="U28"/>
    </row>
    <row r="29" spans="1:21" ht="18">
      <c r="A29" s="9" t="s">
        <v>128</v>
      </c>
      <c r="B29" s="9" t="s">
        <v>127</v>
      </c>
      <c r="C29" s="9" t="s">
        <v>17</v>
      </c>
      <c r="D29" s="9">
        <v>0</v>
      </c>
      <c r="E29" s="9" t="s">
        <v>16</v>
      </c>
      <c r="F29" s="9" t="s">
        <v>17</v>
      </c>
      <c r="G29" s="9" t="s">
        <v>129</v>
      </c>
      <c r="H29" s="9"/>
      <c r="I29"/>
      <c r="J29"/>
      <c r="K29"/>
      <c r="L29"/>
      <c r="M29"/>
      <c r="N29"/>
      <c r="P29"/>
      <c r="Q29"/>
      <c r="R29"/>
      <c r="S29"/>
      <c r="T29"/>
      <c r="U29"/>
    </row>
    <row r="30" spans="1:21" ht="18">
      <c r="A30" s="9" t="s">
        <v>130</v>
      </c>
      <c r="B30" s="9" t="s">
        <v>127</v>
      </c>
      <c r="C30" s="9" t="s">
        <v>17</v>
      </c>
      <c r="D30" s="9">
        <v>0</v>
      </c>
      <c r="E30" s="9" t="s">
        <v>16</v>
      </c>
      <c r="F30" s="9" t="s">
        <v>17</v>
      </c>
      <c r="G30" s="9" t="s">
        <v>131</v>
      </c>
      <c r="H30" s="9"/>
      <c r="I30"/>
      <c r="J30"/>
      <c r="K30"/>
      <c r="L30"/>
      <c r="M30"/>
      <c r="N30"/>
      <c r="P30"/>
      <c r="Q30"/>
      <c r="R30"/>
      <c r="S30"/>
      <c r="T30"/>
      <c r="U30"/>
    </row>
    <row r="31" spans="1:21" ht="18">
      <c r="A31"/>
      <c r="B31"/>
      <c r="C31"/>
      <c r="D31"/>
      <c r="E31"/>
      <c r="F31"/>
      <c r="G31"/>
      <c r="H31" s="9"/>
      <c r="I31"/>
      <c r="J31"/>
      <c r="K31"/>
      <c r="L31"/>
      <c r="M31"/>
      <c r="N31"/>
      <c r="P31"/>
      <c r="Q31"/>
      <c r="R31"/>
      <c r="S31"/>
      <c r="T31"/>
      <c r="U31"/>
    </row>
    <row r="32" spans="1:21" ht="18">
      <c r="A32"/>
      <c r="B32"/>
      <c r="C32"/>
      <c r="D32"/>
      <c r="E32"/>
      <c r="F32"/>
      <c r="G32"/>
      <c r="H32" s="9"/>
      <c r="I32"/>
      <c r="J32"/>
      <c r="K32"/>
      <c r="L32"/>
      <c r="M32"/>
      <c r="N32"/>
      <c r="P32"/>
      <c r="Q32"/>
      <c r="R32"/>
      <c r="S32"/>
      <c r="T32"/>
      <c r="U32"/>
    </row>
    <row r="33" spans="1:21" ht="18">
      <c r="A33"/>
      <c r="B33"/>
      <c r="C33"/>
      <c r="D33"/>
      <c r="E33"/>
      <c r="F33"/>
      <c r="G33"/>
      <c r="H33" s="9"/>
      <c r="I33"/>
      <c r="J33"/>
      <c r="K33"/>
      <c r="L33"/>
      <c r="M33"/>
      <c r="N33"/>
      <c r="P33"/>
      <c r="Q33"/>
      <c r="R33"/>
      <c r="S33"/>
      <c r="T33"/>
      <c r="U33"/>
    </row>
    <row r="34" spans="1:21" ht="18">
      <c r="A34"/>
      <c r="B34"/>
      <c r="C34"/>
      <c r="D34"/>
      <c r="E34"/>
      <c r="F34"/>
      <c r="G34"/>
      <c r="H34" s="9"/>
      <c r="I34"/>
      <c r="J34"/>
      <c r="K34"/>
      <c r="L34"/>
      <c r="M34"/>
      <c r="N34"/>
      <c r="P34"/>
      <c r="Q34"/>
      <c r="R34"/>
      <c r="S34"/>
      <c r="T34"/>
      <c r="U34"/>
    </row>
    <row r="35" spans="1:21" ht="18">
      <c r="A35"/>
      <c r="B35"/>
      <c r="C35"/>
      <c r="D35"/>
      <c r="E35"/>
      <c r="F35"/>
      <c r="G35"/>
      <c r="H35" s="9"/>
      <c r="I35"/>
      <c r="J35"/>
      <c r="K35"/>
      <c r="L35"/>
      <c r="M35"/>
      <c r="N35"/>
      <c r="P35"/>
      <c r="Q35"/>
      <c r="R35"/>
      <c r="S35"/>
      <c r="T35"/>
      <c r="U35"/>
    </row>
    <row r="36" spans="1:21" ht="18">
      <c r="A36"/>
      <c r="B36"/>
      <c r="C36"/>
      <c r="D36"/>
      <c r="E36"/>
      <c r="F36"/>
      <c r="G36"/>
      <c r="H36" s="9"/>
      <c r="I36"/>
      <c r="J36"/>
      <c r="K36"/>
      <c r="L36"/>
      <c r="M36"/>
      <c r="N36"/>
      <c r="P36"/>
      <c r="Q36"/>
      <c r="R36"/>
      <c r="S36"/>
      <c r="T36"/>
      <c r="U36"/>
    </row>
    <row r="37" spans="1:21" ht="18">
      <c r="A37"/>
      <c r="B37"/>
      <c r="C37"/>
      <c r="D37"/>
      <c r="E37"/>
      <c r="F37"/>
      <c r="G37"/>
      <c r="H37" s="9"/>
      <c r="I37"/>
      <c r="J37"/>
      <c r="K37"/>
      <c r="L37"/>
      <c r="M37"/>
      <c r="N37"/>
      <c r="P37"/>
      <c r="Q37"/>
      <c r="R37"/>
      <c r="S37"/>
      <c r="T37"/>
      <c r="U37"/>
    </row>
    <row r="38" spans="1:21" ht="18">
      <c r="A38"/>
      <c r="B38"/>
      <c r="C38"/>
      <c r="D38"/>
      <c r="E38"/>
      <c r="F38"/>
      <c r="G38"/>
      <c r="H38" s="9"/>
      <c r="I38"/>
      <c r="J38"/>
      <c r="K38"/>
      <c r="L38"/>
      <c r="M38"/>
      <c r="N38"/>
      <c r="P38"/>
      <c r="Q38"/>
      <c r="R38"/>
      <c r="S38"/>
      <c r="T38"/>
      <c r="U38"/>
    </row>
    <row r="39" spans="1:21" ht="18">
      <c r="A39"/>
      <c r="B39"/>
      <c r="C39"/>
      <c r="D39"/>
      <c r="E39"/>
      <c r="F39"/>
      <c r="G39"/>
      <c r="H39" s="9"/>
      <c r="I39"/>
      <c r="J39"/>
      <c r="K39"/>
      <c r="L39"/>
      <c r="M39"/>
      <c r="N39"/>
      <c r="P39"/>
      <c r="Q39"/>
      <c r="R39"/>
      <c r="S39"/>
      <c r="T39"/>
      <c r="U39"/>
    </row>
    <row r="40" spans="1:21" ht="18">
      <c r="A40"/>
      <c r="B40"/>
      <c r="C40"/>
      <c r="D40"/>
      <c r="E40"/>
      <c r="F40"/>
      <c r="G40"/>
      <c r="H40" s="9"/>
      <c r="I40"/>
      <c r="J40"/>
      <c r="K40"/>
      <c r="L40"/>
      <c r="M40"/>
      <c r="N40"/>
      <c r="P40"/>
      <c r="Q40"/>
      <c r="R40"/>
      <c r="S40"/>
      <c r="T40"/>
      <c r="U40"/>
    </row>
    <row r="41" spans="1:21" ht="18">
      <c r="A41"/>
      <c r="B41"/>
      <c r="C41"/>
      <c r="D41"/>
      <c r="E41"/>
      <c r="F41"/>
      <c r="G41"/>
      <c r="H41" s="9"/>
      <c r="I41"/>
      <c r="J41"/>
      <c r="K41"/>
      <c r="L41"/>
      <c r="M41"/>
      <c r="N41"/>
      <c r="P41"/>
      <c r="Q41"/>
      <c r="R41"/>
      <c r="S41"/>
      <c r="T41"/>
      <c r="U41"/>
    </row>
    <row r="42" spans="1:21" ht="18">
      <c r="A42"/>
      <c r="B42"/>
      <c r="C42"/>
      <c r="D42"/>
      <c r="E42"/>
      <c r="F42"/>
      <c r="G42"/>
      <c r="H42" s="9"/>
      <c r="I42"/>
      <c r="J42"/>
      <c r="K42"/>
      <c r="L42"/>
      <c r="M42"/>
      <c r="N42"/>
      <c r="P42"/>
      <c r="Q42"/>
      <c r="R42"/>
      <c r="S42"/>
      <c r="T42"/>
      <c r="U42"/>
    </row>
    <row r="43" spans="1:21" ht="18">
      <c r="A43"/>
      <c r="B43"/>
      <c r="C43"/>
      <c r="D43"/>
      <c r="E43"/>
      <c r="F43"/>
      <c r="G43"/>
      <c r="H43" s="9"/>
      <c r="I43"/>
      <c r="J43"/>
      <c r="K43"/>
      <c r="L43"/>
      <c r="M43"/>
      <c r="N43"/>
      <c r="P43"/>
      <c r="Q43"/>
      <c r="R43"/>
      <c r="S43"/>
      <c r="T43"/>
      <c r="U43"/>
    </row>
    <row r="44" spans="1:21" ht="18">
      <c r="A44"/>
      <c r="B44"/>
      <c r="C44"/>
      <c r="D44"/>
      <c r="E44"/>
      <c r="F44"/>
      <c r="G44"/>
      <c r="H44" s="9"/>
      <c r="I44"/>
      <c r="J44"/>
      <c r="K44"/>
      <c r="L44"/>
      <c r="M44"/>
      <c r="N44"/>
      <c r="P44"/>
      <c r="Q44"/>
      <c r="R44"/>
      <c r="S44"/>
      <c r="T44"/>
      <c r="U44"/>
    </row>
    <row r="45" spans="1:21" ht="18">
      <c r="A45"/>
      <c r="B45"/>
      <c r="C45"/>
      <c r="D45"/>
      <c r="E45"/>
      <c r="F45"/>
      <c r="G45"/>
      <c r="H45" s="9"/>
      <c r="I45"/>
      <c r="J45"/>
      <c r="K45"/>
      <c r="L45"/>
      <c r="M45"/>
      <c r="N45"/>
      <c r="P45"/>
      <c r="Q45"/>
      <c r="R45"/>
      <c r="S45"/>
      <c r="T45"/>
      <c r="U45"/>
    </row>
    <row r="46" spans="1:21" ht="18">
      <c r="A46"/>
      <c r="B46"/>
      <c r="C46"/>
      <c r="D46"/>
      <c r="E46"/>
      <c r="F46"/>
      <c r="G46"/>
      <c r="H46" s="9"/>
      <c r="I46"/>
      <c r="J46"/>
      <c r="K46"/>
      <c r="L46"/>
      <c r="M46"/>
      <c r="N46"/>
      <c r="P46"/>
      <c r="Q46"/>
      <c r="R46"/>
      <c r="S46"/>
      <c r="T46"/>
      <c r="U46"/>
    </row>
    <row r="47" spans="1:21" ht="18">
      <c r="A47"/>
      <c r="B47"/>
      <c r="C47"/>
      <c r="D47"/>
      <c r="E47"/>
      <c r="F47"/>
      <c r="G47"/>
      <c r="H47" s="9"/>
      <c r="I47"/>
      <c r="J47"/>
      <c r="K47"/>
      <c r="L47"/>
      <c r="M47"/>
      <c r="N47"/>
      <c r="P47"/>
      <c r="Q47"/>
      <c r="R47"/>
      <c r="S47"/>
      <c r="T47"/>
      <c r="U47"/>
    </row>
    <row r="48" spans="1:21" ht="18">
      <c r="A48"/>
      <c r="B48"/>
      <c r="C48"/>
      <c r="D48"/>
      <c r="E48"/>
      <c r="F48"/>
      <c r="G48"/>
      <c r="H48" s="9"/>
      <c r="I48"/>
      <c r="J48"/>
      <c r="K48"/>
      <c r="L48"/>
      <c r="M48"/>
      <c r="N48"/>
      <c r="P48"/>
      <c r="Q48"/>
      <c r="R48"/>
      <c r="S48"/>
      <c r="T48"/>
      <c r="U48"/>
    </row>
    <row r="49" spans="1:21" ht="18">
      <c r="A49"/>
      <c r="B49"/>
      <c r="C49"/>
      <c r="D49"/>
      <c r="E49"/>
      <c r="F49"/>
      <c r="G49"/>
      <c r="H49" s="9"/>
      <c r="I49"/>
      <c r="J49"/>
      <c r="K49"/>
      <c r="L49"/>
      <c r="M49"/>
      <c r="N49"/>
      <c r="P49"/>
      <c r="Q49"/>
      <c r="R49"/>
      <c r="S49"/>
      <c r="T49"/>
      <c r="U49"/>
    </row>
    <row r="50" spans="1:21" ht="18">
      <c r="A50"/>
      <c r="B50"/>
      <c r="C50"/>
      <c r="D50"/>
      <c r="E50"/>
      <c r="F50"/>
      <c r="G50"/>
      <c r="H50" s="9"/>
      <c r="I50"/>
      <c r="J50"/>
      <c r="K50"/>
      <c r="L50"/>
      <c r="M50"/>
      <c r="N50"/>
      <c r="P50"/>
      <c r="Q50"/>
      <c r="R50"/>
      <c r="S50"/>
      <c r="T50"/>
      <c r="U50"/>
    </row>
    <row r="51" spans="1:21" ht="18">
      <c r="A51"/>
      <c r="B51"/>
      <c r="C51"/>
      <c r="D51"/>
      <c r="E51"/>
      <c r="F51"/>
      <c r="G51"/>
      <c r="H51" s="9"/>
      <c r="I51"/>
      <c r="J51"/>
      <c r="K51"/>
      <c r="L51"/>
      <c r="M51"/>
      <c r="N51"/>
      <c r="P51"/>
      <c r="Q51"/>
      <c r="R51"/>
      <c r="S51"/>
      <c r="T51"/>
      <c r="U51"/>
    </row>
    <row r="52" spans="1:21" ht="18">
      <c r="A52"/>
      <c r="B52"/>
      <c r="C52"/>
      <c r="D52"/>
      <c r="E52"/>
      <c r="F52"/>
      <c r="G52"/>
      <c r="H52" s="9"/>
      <c r="I52"/>
      <c r="J52"/>
      <c r="K52"/>
      <c r="L52"/>
      <c r="M52"/>
      <c r="N52"/>
      <c r="P52"/>
      <c r="Q52"/>
      <c r="R52"/>
      <c r="S52"/>
      <c r="T52"/>
      <c r="U52"/>
    </row>
    <row r="53" spans="1:21" ht="18">
      <c r="A53"/>
      <c r="B53"/>
      <c r="C53"/>
      <c r="D53"/>
      <c r="E53"/>
      <c r="F53"/>
      <c r="G53"/>
      <c r="H53" s="9"/>
      <c r="I53"/>
      <c r="J53"/>
      <c r="K53"/>
      <c r="L53"/>
      <c r="M53"/>
      <c r="N53"/>
      <c r="P53"/>
      <c r="Q53"/>
      <c r="R53"/>
      <c r="S53"/>
      <c r="T53"/>
      <c r="U53"/>
    </row>
    <row r="54" spans="1:21" ht="18">
      <c r="A54"/>
      <c r="B54"/>
      <c r="C54"/>
      <c r="D54"/>
      <c r="E54"/>
      <c r="F54"/>
      <c r="G54"/>
      <c r="H54" s="9"/>
      <c r="I54"/>
      <c r="J54"/>
      <c r="K54"/>
      <c r="L54"/>
      <c r="M54"/>
      <c r="N54"/>
      <c r="P54"/>
      <c r="Q54"/>
      <c r="R54"/>
      <c r="S54"/>
      <c r="T54"/>
      <c r="U54"/>
    </row>
    <row r="55" spans="1:21" ht="18">
      <c r="A55"/>
      <c r="B55"/>
      <c r="C55"/>
      <c r="D55"/>
      <c r="E55"/>
      <c r="F55"/>
      <c r="G55"/>
      <c r="H55" s="9"/>
      <c r="I55"/>
      <c r="J55"/>
      <c r="K55"/>
      <c r="L55"/>
      <c r="M55"/>
      <c r="N55"/>
      <c r="P55"/>
      <c r="Q55"/>
      <c r="R55"/>
      <c r="S55"/>
      <c r="T55"/>
      <c r="U55"/>
    </row>
    <row r="56" spans="1:21" ht="18">
      <c r="A56"/>
      <c r="B56"/>
      <c r="C56"/>
      <c r="D56"/>
      <c r="E56"/>
      <c r="F56"/>
      <c r="G56"/>
      <c r="H56" s="9"/>
      <c r="I56"/>
      <c r="J56"/>
      <c r="K56"/>
      <c r="L56"/>
      <c r="M56"/>
      <c r="N56"/>
      <c r="P56"/>
      <c r="Q56"/>
      <c r="R56"/>
      <c r="S56"/>
      <c r="T56"/>
      <c r="U56"/>
    </row>
    <row r="57" spans="1:21" ht="18">
      <c r="A57"/>
      <c r="B57"/>
      <c r="C57"/>
      <c r="D57"/>
      <c r="E57"/>
      <c r="F57"/>
      <c r="G57"/>
      <c r="H57" s="9"/>
      <c r="I57"/>
      <c r="J57"/>
      <c r="K57"/>
      <c r="L57"/>
      <c r="M57"/>
      <c r="N57"/>
      <c r="P57"/>
      <c r="Q57"/>
      <c r="R57"/>
      <c r="S57"/>
      <c r="T57"/>
      <c r="U57"/>
    </row>
    <row r="58" spans="1:21" ht="18">
      <c r="A58"/>
      <c r="B58"/>
      <c r="C58"/>
      <c r="D58"/>
      <c r="E58"/>
      <c r="F58"/>
      <c r="G58"/>
      <c r="H58" s="9"/>
      <c r="I58"/>
      <c r="J58"/>
      <c r="K58"/>
      <c r="L58"/>
      <c r="M58"/>
      <c r="N58"/>
      <c r="P58"/>
      <c r="Q58"/>
      <c r="R58"/>
      <c r="S58"/>
      <c r="T58"/>
      <c r="U58"/>
    </row>
    <row r="59" spans="1:21" ht="18">
      <c r="A59"/>
      <c r="B59"/>
      <c r="C59"/>
      <c r="D59"/>
      <c r="E59"/>
      <c r="F59"/>
      <c r="G59"/>
      <c r="H59" s="9"/>
      <c r="I59"/>
      <c r="J59"/>
      <c r="K59"/>
      <c r="L59"/>
      <c r="M59"/>
      <c r="N59"/>
      <c r="P59"/>
      <c r="Q59"/>
      <c r="R59"/>
      <c r="S59"/>
      <c r="T59"/>
      <c r="U59"/>
    </row>
    <row r="60" spans="1:21" ht="18">
      <c r="A60"/>
      <c r="B60"/>
      <c r="C60"/>
      <c r="D60"/>
      <c r="E60"/>
      <c r="F60"/>
      <c r="G60"/>
      <c r="H60" s="9"/>
      <c r="I60"/>
      <c r="J60"/>
      <c r="K60"/>
      <c r="L60"/>
      <c r="M60"/>
      <c r="N60"/>
      <c r="P60"/>
      <c r="Q60"/>
      <c r="R60"/>
      <c r="S60"/>
      <c r="T60"/>
      <c r="U60"/>
    </row>
    <row r="61" spans="1:21" ht="18">
      <c r="A61"/>
      <c r="B61"/>
      <c r="C61"/>
      <c r="D61"/>
      <c r="E61"/>
      <c r="F61"/>
      <c r="G61"/>
      <c r="H61" s="9"/>
      <c r="I61"/>
      <c r="J61"/>
      <c r="K61"/>
      <c r="L61"/>
      <c r="M61"/>
      <c r="N61"/>
      <c r="P61"/>
      <c r="Q61"/>
      <c r="R61"/>
      <c r="S61"/>
      <c r="T61"/>
      <c r="U61"/>
    </row>
    <row r="62" spans="1:21" ht="18">
      <c r="A62"/>
      <c r="B62"/>
      <c r="C62"/>
      <c r="D62"/>
      <c r="E62"/>
      <c r="F62"/>
      <c r="G62"/>
      <c r="H62" s="9"/>
      <c r="I62"/>
      <c r="J62"/>
      <c r="K62"/>
      <c r="L62"/>
      <c r="M62"/>
      <c r="N62"/>
      <c r="P62"/>
      <c r="Q62"/>
      <c r="R62"/>
      <c r="S62"/>
      <c r="T62"/>
      <c r="U62"/>
    </row>
    <row r="63" spans="1:21" ht="18">
      <c r="A63"/>
      <c r="B63"/>
      <c r="C63"/>
      <c r="D63"/>
      <c r="E63"/>
      <c r="F63"/>
      <c r="G63"/>
      <c r="H63" s="9"/>
      <c r="I63"/>
      <c r="J63"/>
      <c r="K63"/>
      <c r="L63"/>
      <c r="M63"/>
      <c r="N63"/>
      <c r="P63"/>
      <c r="Q63"/>
      <c r="R63"/>
      <c r="S63"/>
      <c r="T63"/>
      <c r="U63"/>
    </row>
    <row r="64" spans="1:21" ht="18">
      <c r="A64"/>
      <c r="B64"/>
      <c r="C64"/>
      <c r="D64"/>
      <c r="E64"/>
      <c r="F64"/>
      <c r="G64"/>
      <c r="H64" s="9"/>
      <c r="I64"/>
      <c r="J64"/>
      <c r="K64"/>
      <c r="L64"/>
      <c r="M64"/>
      <c r="N64"/>
      <c r="P64"/>
      <c r="Q64"/>
      <c r="R64"/>
      <c r="S64"/>
      <c r="T64"/>
      <c r="U64"/>
    </row>
    <row r="65" spans="1:21" ht="18">
      <c r="A65"/>
      <c r="B65"/>
      <c r="C65"/>
      <c r="D65"/>
      <c r="E65"/>
      <c r="F65"/>
      <c r="G65"/>
      <c r="H65" s="9"/>
      <c r="I65"/>
      <c r="J65"/>
      <c r="K65"/>
      <c r="L65"/>
      <c r="M65"/>
      <c r="N65"/>
      <c r="P65"/>
      <c r="Q65"/>
      <c r="R65"/>
      <c r="S65"/>
      <c r="T65"/>
      <c r="U65"/>
    </row>
    <row r="66" spans="1:21" ht="18">
      <c r="A66"/>
      <c r="B66"/>
      <c r="C66"/>
      <c r="D66"/>
      <c r="E66"/>
      <c r="F66"/>
      <c r="G66"/>
      <c r="H66" s="9"/>
      <c r="I66"/>
      <c r="J66"/>
      <c r="K66"/>
      <c r="L66"/>
      <c r="M66"/>
      <c r="N66"/>
      <c r="P66"/>
      <c r="Q66"/>
      <c r="R66"/>
      <c r="S66"/>
      <c r="T66"/>
      <c r="U66"/>
    </row>
    <row r="67" spans="1:21" ht="18">
      <c r="A67"/>
      <c r="B67"/>
      <c r="C67"/>
      <c r="D67"/>
      <c r="E67"/>
      <c r="F67"/>
      <c r="G67"/>
      <c r="H67" s="9"/>
      <c r="I67"/>
      <c r="J67"/>
      <c r="K67"/>
      <c r="L67"/>
      <c r="M67"/>
      <c r="N67"/>
      <c r="P67"/>
      <c r="Q67"/>
      <c r="R67"/>
      <c r="S67"/>
      <c r="T67"/>
      <c r="U67"/>
    </row>
    <row r="68" spans="1:21" ht="18">
      <c r="A68"/>
      <c r="B68"/>
      <c r="C68"/>
      <c r="D68"/>
      <c r="E68"/>
      <c r="F68"/>
      <c r="G68"/>
      <c r="H68" s="9"/>
      <c r="I68"/>
      <c r="J68"/>
      <c r="K68"/>
      <c r="L68"/>
      <c r="M68"/>
      <c r="N68"/>
      <c r="P68"/>
      <c r="Q68"/>
      <c r="R68"/>
      <c r="S68"/>
      <c r="T68"/>
      <c r="U68"/>
    </row>
    <row r="69" spans="1:21" ht="18">
      <c r="A69"/>
      <c r="B69"/>
      <c r="C69"/>
      <c r="D69"/>
      <c r="E69"/>
      <c r="F69"/>
      <c r="G69"/>
      <c r="H69" s="9"/>
      <c r="I69"/>
      <c r="J69"/>
      <c r="K69"/>
      <c r="L69"/>
      <c r="M69"/>
      <c r="N69"/>
      <c r="P69"/>
      <c r="Q69"/>
      <c r="R69"/>
      <c r="S69"/>
      <c r="T69"/>
      <c r="U69"/>
    </row>
    <row r="70" spans="1:21" ht="18">
      <c r="A70"/>
      <c r="B70"/>
      <c r="C70"/>
      <c r="D70"/>
      <c r="E70"/>
      <c r="F70"/>
      <c r="G70"/>
      <c r="H70" s="9"/>
      <c r="I70"/>
      <c r="J70"/>
      <c r="K70"/>
      <c r="L70"/>
      <c r="M70"/>
      <c r="N70"/>
      <c r="P70"/>
      <c r="Q70"/>
      <c r="R70"/>
      <c r="S70"/>
      <c r="T70"/>
      <c r="U70"/>
    </row>
    <row r="71" spans="1:21" ht="18">
      <c r="A71"/>
      <c r="B71"/>
      <c r="C71"/>
      <c r="D71"/>
      <c r="E71"/>
      <c r="F71"/>
      <c r="G71"/>
      <c r="H71" s="9"/>
      <c r="I71"/>
      <c r="J71"/>
      <c r="K71"/>
      <c r="L71"/>
      <c r="M71"/>
      <c r="N71"/>
      <c r="P71"/>
      <c r="Q71"/>
      <c r="R71"/>
      <c r="S71"/>
      <c r="T71"/>
      <c r="U71"/>
    </row>
    <row r="72" spans="1:21" ht="18">
      <c r="A72"/>
      <c r="B72"/>
      <c r="C72"/>
      <c r="D72"/>
      <c r="E72"/>
      <c r="F72"/>
      <c r="G72"/>
      <c r="H72" s="9"/>
      <c r="I72"/>
      <c r="J72"/>
      <c r="K72"/>
      <c r="L72"/>
      <c r="M72"/>
      <c r="N72"/>
      <c r="P72"/>
      <c r="Q72"/>
      <c r="R72"/>
      <c r="S72"/>
      <c r="T72"/>
      <c r="U72"/>
    </row>
    <row r="73" spans="1:21" ht="18">
      <c r="A73"/>
      <c r="B73"/>
      <c r="C73"/>
      <c r="D73"/>
      <c r="E73"/>
      <c r="F73"/>
      <c r="G73"/>
      <c r="H73" s="9"/>
      <c r="I73"/>
      <c r="J73"/>
      <c r="K73"/>
      <c r="L73"/>
      <c r="M73"/>
      <c r="N73"/>
      <c r="P73"/>
      <c r="Q73"/>
      <c r="R73"/>
      <c r="S73"/>
      <c r="T73"/>
      <c r="U73"/>
    </row>
    <row r="74" spans="1:21" ht="18">
      <c r="A74"/>
      <c r="B74"/>
      <c r="C74"/>
      <c r="D74"/>
      <c r="E74"/>
      <c r="F74"/>
      <c r="G74"/>
      <c r="H74" s="9"/>
      <c r="I74"/>
      <c r="J74"/>
      <c r="K74"/>
      <c r="L74"/>
      <c r="M74"/>
      <c r="N74"/>
      <c r="P74"/>
      <c r="Q74"/>
      <c r="R74"/>
      <c r="S74"/>
      <c r="T74"/>
      <c r="U74"/>
    </row>
    <row r="75" spans="1:21" ht="18">
      <c r="A75"/>
      <c r="B75"/>
      <c r="C75"/>
      <c r="D75"/>
      <c r="E75"/>
      <c r="F75"/>
      <c r="G75"/>
      <c r="H75" s="9"/>
      <c r="I75"/>
      <c r="J75"/>
      <c r="K75"/>
      <c r="L75"/>
      <c r="M75"/>
      <c r="N75"/>
      <c r="P75"/>
      <c r="Q75"/>
      <c r="R75"/>
      <c r="S75"/>
      <c r="T75"/>
      <c r="U75"/>
    </row>
    <row r="76" spans="1:21" ht="18">
      <c r="A76"/>
      <c r="B76"/>
      <c r="C76"/>
      <c r="D76"/>
      <c r="E76"/>
      <c r="F76"/>
      <c r="G76"/>
      <c r="H76" s="9"/>
      <c r="I76"/>
      <c r="J76"/>
      <c r="K76"/>
      <c r="L76"/>
      <c r="M76"/>
      <c r="N76"/>
      <c r="P76"/>
      <c r="Q76"/>
      <c r="R76"/>
      <c r="S76"/>
      <c r="T76"/>
      <c r="U76"/>
    </row>
    <row r="77" spans="1:21" ht="18">
      <c r="A77"/>
      <c r="B77"/>
      <c r="C77"/>
      <c r="D77"/>
      <c r="E77"/>
      <c r="F77"/>
      <c r="G77"/>
      <c r="H77" s="9"/>
      <c r="I77"/>
      <c r="J77"/>
      <c r="K77"/>
      <c r="L77"/>
      <c r="M77"/>
      <c r="N77"/>
      <c r="P77"/>
      <c r="Q77"/>
      <c r="R77"/>
      <c r="S77"/>
      <c r="T77"/>
      <c r="U77"/>
    </row>
    <row r="78" spans="1:21" ht="18">
      <c r="A78"/>
      <c r="B78"/>
      <c r="C78"/>
      <c r="D78"/>
      <c r="E78"/>
      <c r="F78"/>
      <c r="G78"/>
      <c r="H78" s="9"/>
      <c r="I78"/>
      <c r="J78"/>
      <c r="K78"/>
      <c r="L78"/>
      <c r="M78"/>
      <c r="N78"/>
      <c r="P78"/>
      <c r="Q78"/>
      <c r="R78"/>
      <c r="S78"/>
      <c r="T78"/>
      <c r="U78"/>
    </row>
    <row r="79" spans="1:21" ht="18">
      <c r="A79"/>
      <c r="B79"/>
      <c r="C79"/>
      <c r="D79"/>
      <c r="E79"/>
      <c r="F79"/>
      <c r="G79"/>
      <c r="H79" s="9"/>
      <c r="I79"/>
      <c r="J79"/>
      <c r="K79"/>
      <c r="L79"/>
      <c r="M79"/>
      <c r="N79"/>
      <c r="P79"/>
      <c r="Q79"/>
      <c r="R79"/>
      <c r="S79"/>
      <c r="T79"/>
      <c r="U79"/>
    </row>
    <row r="80" spans="1:21" ht="18">
      <c r="A80"/>
      <c r="B80"/>
      <c r="C80"/>
      <c r="D80"/>
      <c r="E80"/>
      <c r="F80"/>
      <c r="G80"/>
      <c r="H80" s="9"/>
      <c r="I80"/>
      <c r="J80"/>
      <c r="K80"/>
      <c r="L80"/>
      <c r="M80"/>
      <c r="N80"/>
      <c r="P80"/>
      <c r="Q80"/>
      <c r="R80"/>
      <c r="S80"/>
      <c r="T80"/>
      <c r="U80"/>
    </row>
    <row r="81" spans="1:21" ht="18">
      <c r="A81"/>
      <c r="B81"/>
      <c r="C81"/>
      <c r="D81"/>
      <c r="E81"/>
      <c r="F81"/>
      <c r="G81"/>
      <c r="H81" s="9"/>
      <c r="I81"/>
      <c r="J81"/>
      <c r="K81"/>
      <c r="L81"/>
      <c r="M81"/>
      <c r="N81"/>
      <c r="P81"/>
      <c r="Q81"/>
      <c r="R81"/>
      <c r="S81"/>
      <c r="T81"/>
      <c r="U81"/>
    </row>
    <row r="82" spans="1:21" ht="18">
      <c r="A82"/>
      <c r="B82"/>
      <c r="C82"/>
      <c r="D82"/>
      <c r="E82"/>
      <c r="F82"/>
      <c r="G82"/>
      <c r="H82" s="9"/>
      <c r="I82"/>
      <c r="J82"/>
      <c r="K82"/>
      <c r="L82"/>
      <c r="M82"/>
      <c r="N82"/>
      <c r="P82"/>
      <c r="Q82"/>
      <c r="R82"/>
      <c r="S82"/>
      <c r="T82"/>
      <c r="U82"/>
    </row>
    <row r="83" spans="1:21" ht="18">
      <c r="A83"/>
      <c r="B83"/>
      <c r="C83"/>
      <c r="D83"/>
      <c r="E83"/>
      <c r="F83"/>
      <c r="G83"/>
      <c r="H83" s="9"/>
      <c r="I83"/>
      <c r="J83"/>
      <c r="K83"/>
      <c r="L83"/>
      <c r="M83"/>
      <c r="N83"/>
      <c r="P83"/>
      <c r="Q83"/>
      <c r="R83"/>
      <c r="S83"/>
      <c r="T83"/>
      <c r="U83"/>
    </row>
    <row r="84" spans="1:21" ht="18">
      <c r="A84"/>
      <c r="B84"/>
      <c r="C84"/>
      <c r="D84"/>
      <c r="E84"/>
      <c r="F84"/>
      <c r="G84"/>
      <c r="H84" s="9"/>
      <c r="I84"/>
      <c r="J84"/>
      <c r="K84"/>
      <c r="L84"/>
      <c r="M84"/>
      <c r="N84"/>
      <c r="P84"/>
      <c r="Q84"/>
      <c r="R84"/>
      <c r="S84"/>
      <c r="T84"/>
      <c r="U84"/>
    </row>
    <row r="85" spans="1:21" ht="18">
      <c r="A85"/>
      <c r="B85"/>
      <c r="C85"/>
      <c r="D85"/>
      <c r="E85"/>
      <c r="F85"/>
      <c r="G85"/>
      <c r="H85" s="9"/>
      <c r="I85"/>
      <c r="J85"/>
      <c r="K85"/>
      <c r="L85"/>
      <c r="M85"/>
      <c r="N85"/>
      <c r="P85"/>
      <c r="Q85"/>
      <c r="R85"/>
      <c r="S85"/>
      <c r="T85"/>
      <c r="U85"/>
    </row>
    <row r="86" spans="1:21" ht="18">
      <c r="A86"/>
      <c r="B86"/>
      <c r="C86"/>
      <c r="D86"/>
      <c r="E86"/>
      <c r="F86"/>
      <c r="G86"/>
      <c r="H86" s="9"/>
      <c r="I86"/>
      <c r="J86"/>
      <c r="K86"/>
      <c r="L86"/>
      <c r="M86"/>
      <c r="N86"/>
      <c r="P86"/>
      <c r="Q86"/>
      <c r="R86"/>
      <c r="S86"/>
      <c r="T86"/>
      <c r="U86"/>
    </row>
    <row r="87" spans="1:21" ht="18">
      <c r="A87"/>
      <c r="B87"/>
      <c r="C87"/>
      <c r="D87"/>
      <c r="E87"/>
      <c r="F87"/>
      <c r="G87"/>
      <c r="H87" s="9"/>
      <c r="I87"/>
      <c r="J87"/>
      <c r="K87"/>
      <c r="L87"/>
      <c r="M87"/>
      <c r="N87"/>
      <c r="P87"/>
      <c r="Q87"/>
      <c r="R87"/>
      <c r="S87"/>
      <c r="T87"/>
      <c r="U87"/>
    </row>
    <row r="88" spans="1:21" ht="18">
      <c r="A88"/>
      <c r="B88"/>
      <c r="C88"/>
      <c r="D88"/>
      <c r="E88"/>
      <c r="F88"/>
      <c r="G88"/>
      <c r="H88" s="9"/>
      <c r="I88"/>
      <c r="J88"/>
      <c r="K88"/>
      <c r="L88"/>
      <c r="M88"/>
      <c r="N88"/>
      <c r="P88"/>
      <c r="Q88"/>
      <c r="R88"/>
      <c r="S88"/>
      <c r="T88"/>
      <c r="U88"/>
    </row>
    <row r="89" spans="1:21" ht="18">
      <c r="A89"/>
      <c r="B89"/>
      <c r="C89"/>
      <c r="D89"/>
      <c r="E89"/>
      <c r="F89"/>
      <c r="G89"/>
      <c r="H89" s="9"/>
      <c r="I89"/>
      <c r="J89"/>
      <c r="K89"/>
      <c r="L89"/>
      <c r="M89"/>
      <c r="N89"/>
      <c r="P89"/>
      <c r="Q89"/>
      <c r="R89"/>
      <c r="S89"/>
      <c r="T89"/>
      <c r="U89"/>
    </row>
    <row r="90" spans="1:21" ht="18">
      <c r="A90"/>
      <c r="B90"/>
      <c r="C90"/>
      <c r="D90"/>
      <c r="E90"/>
      <c r="F90"/>
      <c r="G90"/>
      <c r="H90" s="9"/>
      <c r="I90"/>
      <c r="J90"/>
      <c r="K90"/>
      <c r="L90"/>
      <c r="M90"/>
      <c r="N90"/>
      <c r="P90"/>
      <c r="Q90"/>
      <c r="R90"/>
      <c r="S90"/>
      <c r="T90"/>
      <c r="U90"/>
    </row>
    <row r="91" spans="1:21" ht="18">
      <c r="A91"/>
      <c r="B91"/>
      <c r="C91"/>
      <c r="D91"/>
      <c r="E91"/>
      <c r="F91"/>
      <c r="G91"/>
      <c r="H91" s="9"/>
      <c r="I91"/>
      <c r="J91"/>
      <c r="K91"/>
      <c r="L91"/>
      <c r="M91"/>
      <c r="N91"/>
      <c r="P91"/>
      <c r="Q91"/>
      <c r="R91"/>
      <c r="S91"/>
      <c r="T91"/>
      <c r="U91"/>
    </row>
    <row r="92" spans="1:21" ht="18">
      <c r="A92"/>
      <c r="B92"/>
      <c r="C92"/>
      <c r="D92"/>
      <c r="E92"/>
      <c r="F92"/>
      <c r="G92"/>
      <c r="H92" s="9"/>
      <c r="I92"/>
      <c r="J92"/>
      <c r="K92"/>
      <c r="L92"/>
      <c r="M92"/>
      <c r="N92"/>
      <c r="P92"/>
      <c r="Q92"/>
      <c r="R92"/>
      <c r="S92"/>
      <c r="T92"/>
      <c r="U92"/>
    </row>
    <row r="93" spans="1:21" ht="18">
      <c r="A93"/>
      <c r="B93"/>
      <c r="C93"/>
      <c r="D93"/>
      <c r="E93"/>
      <c r="F93"/>
      <c r="G93"/>
      <c r="H93" s="9"/>
      <c r="I93"/>
      <c r="J93"/>
      <c r="K93"/>
      <c r="L93"/>
      <c r="M93"/>
      <c r="N93"/>
      <c r="P93"/>
      <c r="Q93"/>
      <c r="R93"/>
      <c r="S93"/>
      <c r="T93"/>
      <c r="U93"/>
    </row>
    <row r="94" spans="1:21" ht="18">
      <c r="A94"/>
      <c r="B94"/>
      <c r="C94"/>
      <c r="D94"/>
      <c r="E94"/>
      <c r="F94"/>
      <c r="G94"/>
      <c r="H94" s="9"/>
      <c r="I94"/>
      <c r="J94"/>
      <c r="K94"/>
      <c r="L94"/>
      <c r="M94"/>
      <c r="N94"/>
      <c r="P94"/>
      <c r="Q94"/>
      <c r="R94"/>
      <c r="S94"/>
      <c r="T94"/>
      <c r="U94"/>
    </row>
    <row r="95" spans="1:21" ht="18">
      <c r="A95"/>
      <c r="B95"/>
      <c r="C95"/>
      <c r="D95"/>
      <c r="E95"/>
      <c r="F95"/>
      <c r="G95"/>
      <c r="H95" s="9"/>
      <c r="I95"/>
      <c r="J95"/>
      <c r="K95"/>
      <c r="L95"/>
      <c r="M95"/>
      <c r="N95"/>
      <c r="P95"/>
      <c r="Q95"/>
      <c r="R95"/>
      <c r="S95"/>
      <c r="T95"/>
      <c r="U95"/>
    </row>
    <row r="96" spans="1:21" ht="18">
      <c r="A96"/>
      <c r="B96"/>
      <c r="C96"/>
      <c r="D96"/>
      <c r="E96"/>
      <c r="F96"/>
      <c r="G96"/>
      <c r="H96" s="9"/>
      <c r="I96"/>
      <c r="J96"/>
      <c r="K96"/>
      <c r="L96"/>
      <c r="M96"/>
      <c r="N96"/>
      <c r="P96"/>
      <c r="Q96"/>
      <c r="R96"/>
      <c r="S96"/>
      <c r="T96"/>
      <c r="U96"/>
    </row>
    <row r="97" spans="1:21" ht="18">
      <c r="A97"/>
      <c r="B97"/>
      <c r="C97"/>
      <c r="D97"/>
      <c r="E97"/>
      <c r="F97"/>
      <c r="G97"/>
      <c r="H97" s="9"/>
      <c r="I97"/>
      <c r="J97"/>
      <c r="K97"/>
      <c r="L97"/>
      <c r="M97"/>
      <c r="P97"/>
      <c r="Q97"/>
      <c r="R97"/>
      <c r="S97"/>
      <c r="T97"/>
      <c r="U97"/>
    </row>
    <row r="98" spans="1:21" ht="18">
      <c r="A98"/>
      <c r="B98"/>
      <c r="C98"/>
      <c r="D98"/>
      <c r="E98"/>
      <c r="F98"/>
      <c r="G98"/>
      <c r="H98" s="9"/>
      <c r="I98"/>
      <c r="J98"/>
      <c r="K98"/>
      <c r="L98"/>
      <c r="M98"/>
      <c r="P98"/>
      <c r="Q98"/>
      <c r="R98"/>
      <c r="S98"/>
      <c r="T98"/>
      <c r="U98"/>
    </row>
    <row r="99" spans="1:21" ht="18">
      <c r="A99"/>
      <c r="B99"/>
      <c r="C99"/>
      <c r="D99"/>
      <c r="E99"/>
      <c r="F99"/>
      <c r="G99"/>
      <c r="H99" s="9"/>
      <c r="I99"/>
      <c r="J99"/>
      <c r="K99"/>
      <c r="P99"/>
      <c r="Q99"/>
      <c r="R99"/>
      <c r="S99"/>
      <c r="T99"/>
      <c r="U99"/>
    </row>
    <row r="100" spans="1:21" ht="18">
      <c r="A100"/>
      <c r="B100"/>
      <c r="C100"/>
      <c r="D100"/>
      <c r="E100"/>
      <c r="F100"/>
      <c r="G100"/>
      <c r="H100" s="9"/>
      <c r="I100"/>
      <c r="J100"/>
      <c r="K100"/>
      <c r="P100"/>
      <c r="Q100"/>
      <c r="R100"/>
      <c r="S100"/>
      <c r="T100"/>
      <c r="U100"/>
    </row>
    <row r="101" spans="1:21" ht="18">
      <c r="A101"/>
      <c r="B101"/>
      <c r="C101"/>
      <c r="D101"/>
      <c r="E101"/>
      <c r="F101"/>
      <c r="G101"/>
      <c r="H101" s="9"/>
      <c r="I101"/>
      <c r="J101"/>
      <c r="K101"/>
      <c r="P101"/>
      <c r="Q101"/>
      <c r="R101"/>
      <c r="S101"/>
      <c r="T101"/>
      <c r="U101"/>
    </row>
    <row r="102" spans="1:21" ht="18">
      <c r="A102"/>
      <c r="B102"/>
      <c r="C102"/>
      <c r="D102"/>
      <c r="E102"/>
      <c r="F102"/>
      <c r="G102"/>
      <c r="H102" s="9"/>
      <c r="I102"/>
      <c r="J102"/>
      <c r="K102"/>
      <c r="P102"/>
      <c r="Q102"/>
      <c r="R102"/>
      <c r="S102"/>
      <c r="T102"/>
      <c r="U102"/>
    </row>
    <row r="103" spans="1:21" ht="18">
      <c r="A103"/>
      <c r="B103"/>
      <c r="C103"/>
      <c r="D103"/>
      <c r="E103"/>
      <c r="F103"/>
      <c r="G103"/>
      <c r="H103" s="9"/>
      <c r="I103"/>
      <c r="J103"/>
      <c r="K103"/>
      <c r="P103"/>
      <c r="Q103"/>
      <c r="R103"/>
      <c r="S103"/>
      <c r="T103"/>
      <c r="U103"/>
    </row>
    <row r="104" spans="1:21" ht="18">
      <c r="A104"/>
      <c r="B104"/>
      <c r="C104"/>
      <c r="D104"/>
      <c r="E104"/>
      <c r="F104"/>
      <c r="G104"/>
      <c r="H104" s="9"/>
      <c r="I104"/>
      <c r="J104"/>
      <c r="K104"/>
      <c r="P104"/>
      <c r="Q104"/>
      <c r="R104"/>
      <c r="S104"/>
      <c r="T104"/>
      <c r="U104"/>
    </row>
    <row r="105" spans="1:21" ht="18">
      <c r="A105"/>
      <c r="B105"/>
      <c r="C105"/>
      <c r="D105"/>
      <c r="E105"/>
      <c r="F105"/>
      <c r="G105"/>
      <c r="H105" s="9"/>
      <c r="I105"/>
      <c r="J105"/>
      <c r="K105"/>
      <c r="P105"/>
      <c r="Q105"/>
      <c r="R105"/>
      <c r="S105"/>
      <c r="T105"/>
      <c r="U105"/>
    </row>
    <row r="106" spans="1:21" ht="18">
      <c r="A106"/>
      <c r="B106"/>
      <c r="C106"/>
      <c r="D106"/>
      <c r="E106"/>
      <c r="F106"/>
      <c r="G106"/>
      <c r="H106" s="9"/>
      <c r="I106"/>
      <c r="J106"/>
      <c r="K106"/>
      <c r="P106"/>
      <c r="Q106"/>
      <c r="R106"/>
      <c r="S106"/>
      <c r="T106"/>
      <c r="U106"/>
    </row>
    <row r="107" spans="1:21" ht="18">
      <c r="A107"/>
      <c r="B107"/>
      <c r="C107"/>
      <c r="D107"/>
      <c r="E107"/>
      <c r="F107"/>
      <c r="G107"/>
      <c r="H107" s="9"/>
      <c r="I107"/>
      <c r="J107"/>
      <c r="K107"/>
      <c r="P107"/>
      <c r="Q107"/>
      <c r="R107"/>
      <c r="S107"/>
      <c r="T107"/>
      <c r="U107"/>
    </row>
    <row r="108" spans="1:21" ht="18">
      <c r="A108"/>
      <c r="B108"/>
      <c r="C108"/>
      <c r="D108"/>
      <c r="E108"/>
      <c r="F108"/>
      <c r="G108"/>
      <c r="H108" s="9"/>
      <c r="I108"/>
      <c r="J108"/>
      <c r="K108"/>
      <c r="P108"/>
      <c r="Q108"/>
      <c r="R108"/>
      <c r="S108"/>
      <c r="T108"/>
      <c r="U108"/>
    </row>
    <row r="109" spans="1:21" ht="18">
      <c r="A109"/>
      <c r="B109"/>
      <c r="C109"/>
      <c r="D109"/>
      <c r="E109"/>
      <c r="F109"/>
      <c r="G109"/>
      <c r="H109" s="9"/>
      <c r="I109"/>
      <c r="J109"/>
      <c r="K109"/>
      <c r="P109"/>
      <c r="Q109"/>
      <c r="R109"/>
      <c r="S109"/>
      <c r="T109"/>
      <c r="U109"/>
    </row>
    <row r="110" spans="1:21" ht="18">
      <c r="A110"/>
      <c r="B110"/>
      <c r="C110"/>
      <c r="D110"/>
      <c r="E110"/>
      <c r="F110"/>
      <c r="G110"/>
      <c r="H110" s="9"/>
      <c r="I110"/>
      <c r="J110"/>
      <c r="K110"/>
      <c r="P110"/>
      <c r="Q110"/>
      <c r="R110"/>
      <c r="S110"/>
      <c r="T110"/>
      <c r="U110"/>
    </row>
    <row r="111" spans="1:21" ht="18">
      <c r="A111"/>
      <c r="B111"/>
      <c r="C111"/>
      <c r="D111"/>
      <c r="E111"/>
      <c r="F111"/>
      <c r="G111"/>
      <c r="H111" s="9"/>
      <c r="I111"/>
      <c r="J111"/>
      <c r="K111"/>
      <c r="P111"/>
      <c r="Q111"/>
      <c r="R111"/>
      <c r="S111"/>
      <c r="T111"/>
      <c r="U111"/>
    </row>
    <row r="112" spans="1:21" ht="18">
      <c r="A112"/>
      <c r="B112"/>
      <c r="C112"/>
      <c r="D112"/>
      <c r="E112"/>
      <c r="F112"/>
      <c r="G112"/>
      <c r="H112" s="9"/>
      <c r="I112"/>
      <c r="J112"/>
      <c r="K112"/>
      <c r="P112"/>
      <c r="Q112"/>
      <c r="R112"/>
      <c r="S112"/>
    </row>
    <row r="113" spans="1:19" ht="18">
      <c r="A113"/>
      <c r="B113"/>
      <c r="C113"/>
      <c r="D113"/>
      <c r="E113"/>
      <c r="F113"/>
      <c r="G113"/>
      <c r="H113" s="9"/>
      <c r="I113"/>
      <c r="J113"/>
      <c r="K113"/>
      <c r="P113"/>
      <c r="Q113"/>
      <c r="R113"/>
      <c r="S113"/>
    </row>
    <row r="114" spans="1:19" ht="18">
      <c r="A114"/>
      <c r="B114"/>
      <c r="C114"/>
      <c r="D114"/>
      <c r="E114"/>
      <c r="F114"/>
      <c r="G114"/>
      <c r="H114" s="9"/>
      <c r="I114"/>
      <c r="J114"/>
      <c r="K114"/>
      <c r="P114"/>
      <c r="Q114"/>
      <c r="R114"/>
      <c r="S114"/>
    </row>
    <row r="115" spans="1:19" ht="18">
      <c r="A115"/>
      <c r="B115"/>
      <c r="C115"/>
      <c r="D115"/>
      <c r="E115"/>
      <c r="F115"/>
      <c r="G115"/>
      <c r="H115" s="9"/>
      <c r="I115"/>
      <c r="J115"/>
      <c r="K115"/>
      <c r="P115"/>
      <c r="Q115"/>
      <c r="R115"/>
      <c r="S115"/>
    </row>
    <row r="116" spans="1:19" ht="18">
      <c r="A116"/>
      <c r="B116"/>
      <c r="C116"/>
      <c r="D116"/>
      <c r="E116"/>
      <c r="F116"/>
      <c r="G116"/>
      <c r="H116" s="9"/>
      <c r="I116"/>
      <c r="J116"/>
      <c r="K116"/>
      <c r="P116"/>
      <c r="Q116"/>
      <c r="R116"/>
      <c r="S116"/>
    </row>
    <row r="117" spans="1:19" ht="18">
      <c r="A117"/>
      <c r="B117"/>
      <c r="C117"/>
      <c r="D117"/>
      <c r="E117"/>
      <c r="F117"/>
      <c r="G117"/>
      <c r="H117" s="9"/>
      <c r="I117"/>
      <c r="J117"/>
      <c r="K117"/>
      <c r="P117"/>
      <c r="Q117"/>
      <c r="R117"/>
      <c r="S117"/>
    </row>
    <row r="118" spans="1:19" ht="18">
      <c r="A118"/>
      <c r="B118"/>
      <c r="C118"/>
      <c r="D118"/>
      <c r="E118"/>
      <c r="F118"/>
      <c r="G118"/>
      <c r="H118" s="9"/>
      <c r="I118"/>
      <c r="J118"/>
      <c r="K118"/>
      <c r="P118"/>
      <c r="Q118"/>
      <c r="R118"/>
      <c r="S118"/>
    </row>
    <row r="119" spans="1:19" ht="18">
      <c r="A119"/>
      <c r="B119"/>
      <c r="C119"/>
      <c r="D119"/>
      <c r="E119"/>
      <c r="F119"/>
      <c r="G119"/>
      <c r="H119" s="9"/>
      <c r="I119"/>
      <c r="J119"/>
      <c r="K119"/>
      <c r="P119"/>
      <c r="Q119"/>
      <c r="R119"/>
      <c r="S119"/>
    </row>
    <row r="120" spans="1:19" ht="18">
      <c r="A120"/>
      <c r="B120"/>
      <c r="C120"/>
      <c r="D120"/>
      <c r="E120"/>
      <c r="F120"/>
      <c r="G120"/>
      <c r="H120" s="9"/>
      <c r="I120"/>
      <c r="J120"/>
      <c r="K120"/>
      <c r="P120"/>
      <c r="Q120"/>
      <c r="R120"/>
      <c r="S120"/>
    </row>
    <row r="121" spans="1:19" ht="18">
      <c r="A121"/>
      <c r="B121"/>
      <c r="C121"/>
      <c r="D121"/>
      <c r="E121"/>
      <c r="F121"/>
      <c r="G121"/>
      <c r="H121" s="9"/>
      <c r="I121"/>
      <c r="J121"/>
      <c r="K121"/>
      <c r="P121"/>
      <c r="Q121"/>
      <c r="R121"/>
      <c r="S121"/>
    </row>
    <row r="122" spans="1:19" ht="18">
      <c r="A122"/>
      <c r="B122"/>
      <c r="C122"/>
      <c r="D122"/>
      <c r="E122"/>
      <c r="F122"/>
      <c r="G122"/>
      <c r="H122" s="9"/>
      <c r="I122"/>
      <c r="J122"/>
      <c r="K122"/>
      <c r="P122"/>
      <c r="Q122"/>
      <c r="R122"/>
      <c r="S122"/>
    </row>
    <row r="123" spans="1:19" ht="18">
      <c r="A123"/>
      <c r="B123"/>
      <c r="C123"/>
      <c r="D123"/>
      <c r="E123"/>
      <c r="F123"/>
      <c r="G123"/>
      <c r="H123" s="9"/>
      <c r="I123"/>
      <c r="J123"/>
      <c r="K123"/>
      <c r="P123"/>
      <c r="Q123"/>
      <c r="R123"/>
      <c r="S123"/>
    </row>
    <row r="124" spans="1:19" ht="18">
      <c r="A124"/>
      <c r="B124"/>
      <c r="C124"/>
      <c r="D124"/>
      <c r="E124"/>
      <c r="F124"/>
      <c r="G124"/>
      <c r="H124" s="9"/>
      <c r="I124"/>
      <c r="J124"/>
      <c r="K124"/>
      <c r="P124"/>
      <c r="Q124"/>
      <c r="R124"/>
      <c r="S124"/>
    </row>
    <row r="125" spans="1:19" ht="18">
      <c r="A125"/>
      <c r="B125"/>
      <c r="C125"/>
      <c r="D125"/>
      <c r="E125"/>
      <c r="F125"/>
      <c r="G125"/>
      <c r="H125" s="9"/>
      <c r="I125"/>
      <c r="J125"/>
      <c r="K125"/>
      <c r="P125"/>
      <c r="Q125"/>
      <c r="R125"/>
      <c r="S125"/>
    </row>
    <row r="126" spans="1:19" ht="18">
      <c r="A126"/>
      <c r="B126"/>
      <c r="C126"/>
      <c r="D126"/>
      <c r="E126"/>
      <c r="F126"/>
      <c r="G126"/>
      <c r="H126" s="9"/>
      <c r="I126"/>
      <c r="J126"/>
      <c r="K126"/>
      <c r="P126"/>
      <c r="Q126"/>
      <c r="R126"/>
      <c r="S126"/>
    </row>
    <row r="127" spans="1:19" ht="18">
      <c r="A127"/>
      <c r="B127"/>
      <c r="C127"/>
      <c r="D127"/>
      <c r="E127"/>
      <c r="F127"/>
      <c r="G127"/>
      <c r="H127" s="9"/>
      <c r="I127"/>
      <c r="J127"/>
      <c r="K127"/>
      <c r="P127"/>
      <c r="Q127"/>
      <c r="R127"/>
      <c r="S127"/>
    </row>
    <row r="128" spans="1:19" ht="18">
      <c r="A128"/>
      <c r="B128"/>
      <c r="C128"/>
      <c r="D128"/>
      <c r="E128"/>
      <c r="F128"/>
      <c r="G128"/>
      <c r="H128" s="9"/>
      <c r="I128"/>
      <c r="J128"/>
      <c r="K128"/>
      <c r="P128"/>
      <c r="Q128"/>
      <c r="R128"/>
      <c r="S128"/>
    </row>
    <row r="129" spans="1:19" ht="18">
      <c r="A129"/>
      <c r="B129"/>
      <c r="C129"/>
      <c r="D129"/>
      <c r="E129"/>
      <c r="F129"/>
      <c r="G129"/>
      <c r="H129" s="9"/>
      <c r="I129"/>
      <c r="J129"/>
      <c r="K129"/>
      <c r="P129"/>
      <c r="Q129"/>
      <c r="R129"/>
      <c r="S129"/>
    </row>
    <row r="130" spans="1:19" ht="18">
      <c r="A130"/>
      <c r="B130"/>
      <c r="C130"/>
      <c r="D130"/>
      <c r="E130"/>
      <c r="F130"/>
      <c r="G130"/>
      <c r="H130" s="9"/>
      <c r="I130"/>
      <c r="J130"/>
      <c r="K130"/>
      <c r="P130"/>
      <c r="Q130"/>
      <c r="R130"/>
      <c r="S130"/>
    </row>
    <row r="131" spans="1:19" ht="18">
      <c r="A131"/>
      <c r="B131"/>
      <c r="C131"/>
      <c r="D131"/>
      <c r="E131"/>
      <c r="F131"/>
      <c r="G131"/>
      <c r="H131" s="9"/>
      <c r="I131"/>
      <c r="J131"/>
      <c r="K131"/>
      <c r="P131"/>
      <c r="Q131"/>
      <c r="R131"/>
      <c r="S131"/>
    </row>
    <row r="132" spans="1:19" ht="18">
      <c r="A132"/>
      <c r="B132"/>
      <c r="C132"/>
      <c r="D132"/>
      <c r="E132"/>
      <c r="F132"/>
      <c r="G132"/>
      <c r="H132" s="9"/>
      <c r="I132"/>
      <c r="J132"/>
      <c r="K132"/>
      <c r="P132"/>
      <c r="Q132"/>
      <c r="R132"/>
      <c r="S132"/>
    </row>
    <row r="133" spans="1:19" ht="18">
      <c r="A133"/>
      <c r="B133"/>
      <c r="C133"/>
      <c r="D133"/>
      <c r="E133"/>
      <c r="F133"/>
      <c r="G133"/>
      <c r="H133" s="9"/>
      <c r="I133"/>
      <c r="J133"/>
      <c r="K133"/>
      <c r="P133"/>
      <c r="Q133"/>
      <c r="R133"/>
      <c r="S133"/>
    </row>
    <row r="134" spans="1:19" ht="18">
      <c r="A134"/>
      <c r="B134"/>
      <c r="C134"/>
      <c r="D134"/>
      <c r="E134"/>
      <c r="F134"/>
      <c r="G134"/>
      <c r="H134" s="9"/>
      <c r="I134"/>
      <c r="J134"/>
      <c r="K134"/>
      <c r="P134"/>
      <c r="Q134"/>
      <c r="R134"/>
      <c r="S134"/>
    </row>
    <row r="135" spans="1:19" ht="18">
      <c r="A135"/>
      <c r="B135"/>
      <c r="C135"/>
      <c r="D135"/>
      <c r="E135"/>
      <c r="F135"/>
      <c r="G135"/>
      <c r="H135" s="9"/>
      <c r="I135"/>
      <c r="J135"/>
      <c r="K135"/>
      <c r="P135"/>
      <c r="Q135"/>
      <c r="R135"/>
      <c r="S135"/>
    </row>
    <row r="136" spans="1:19" ht="18">
      <c r="A136"/>
      <c r="B136"/>
      <c r="C136"/>
      <c r="D136"/>
      <c r="E136"/>
      <c r="F136"/>
      <c r="G136"/>
      <c r="H136" s="9"/>
      <c r="I136"/>
      <c r="J136"/>
      <c r="K136"/>
      <c r="P136"/>
      <c r="Q136"/>
      <c r="R136"/>
      <c r="S136"/>
    </row>
    <row r="137" spans="1:19" ht="18">
      <c r="A137"/>
      <c r="B137"/>
      <c r="C137"/>
      <c r="D137"/>
      <c r="E137"/>
      <c r="F137"/>
      <c r="G137"/>
      <c r="H137" s="9"/>
      <c r="I137"/>
      <c r="J137"/>
      <c r="K137"/>
      <c r="P137"/>
      <c r="Q137"/>
      <c r="R137"/>
      <c r="S137"/>
    </row>
    <row r="138" spans="1:19" ht="18">
      <c r="A138"/>
      <c r="B138"/>
      <c r="C138"/>
      <c r="D138"/>
      <c r="E138"/>
      <c r="F138"/>
      <c r="G138"/>
      <c r="H138" s="9"/>
      <c r="I138"/>
      <c r="J138"/>
      <c r="K138"/>
      <c r="P138"/>
      <c r="Q138"/>
      <c r="R138"/>
      <c r="S138"/>
    </row>
    <row r="139" spans="1:19" ht="18">
      <c r="A139"/>
      <c r="B139"/>
      <c r="C139"/>
      <c r="D139"/>
      <c r="E139"/>
      <c r="F139"/>
      <c r="G139"/>
      <c r="H139" s="9"/>
      <c r="I139"/>
      <c r="J139"/>
      <c r="K139"/>
      <c r="P139"/>
      <c r="Q139"/>
      <c r="R139"/>
      <c r="S139"/>
    </row>
    <row r="140" spans="1:19" ht="18">
      <c r="A140"/>
      <c r="B140"/>
      <c r="C140"/>
      <c r="D140"/>
      <c r="E140"/>
      <c r="F140"/>
      <c r="G140"/>
      <c r="H140" s="9"/>
      <c r="I140"/>
      <c r="J140"/>
      <c r="K140"/>
      <c r="P140"/>
      <c r="Q140"/>
      <c r="R140"/>
      <c r="S140"/>
    </row>
    <row r="141" spans="1:19" ht="18">
      <c r="A141"/>
      <c r="B141"/>
      <c r="C141"/>
      <c r="D141"/>
      <c r="E141"/>
      <c r="F141"/>
      <c r="G141"/>
      <c r="H141" s="9"/>
      <c r="I141"/>
      <c r="J141"/>
      <c r="K141"/>
      <c r="P141"/>
      <c r="Q141"/>
      <c r="R141"/>
      <c r="S141"/>
    </row>
    <row r="142" spans="1:19" ht="18">
      <c r="A142"/>
      <c r="B142"/>
      <c r="C142"/>
      <c r="D142"/>
      <c r="E142"/>
      <c r="F142"/>
      <c r="G142"/>
      <c r="H142" s="9"/>
      <c r="I142"/>
      <c r="J142"/>
      <c r="K142"/>
      <c r="P142"/>
      <c r="Q142"/>
      <c r="R142"/>
      <c r="S142"/>
    </row>
    <row r="143" spans="1:19" ht="18">
      <c r="A143"/>
      <c r="B143"/>
      <c r="C143"/>
      <c r="D143"/>
      <c r="E143"/>
      <c r="F143"/>
      <c r="G143"/>
      <c r="H143" s="9"/>
      <c r="I143"/>
      <c r="J143"/>
      <c r="K143"/>
      <c r="P143"/>
      <c r="Q143"/>
      <c r="R143"/>
      <c r="S143"/>
    </row>
    <row r="144" spans="1:19" ht="18">
      <c r="A144"/>
      <c r="B144"/>
      <c r="C144"/>
      <c r="D144"/>
      <c r="E144"/>
      <c r="F144"/>
      <c r="G144"/>
      <c r="H144" s="9"/>
      <c r="I144"/>
      <c r="J144"/>
      <c r="K144"/>
      <c r="P144"/>
      <c r="Q144"/>
      <c r="R144"/>
      <c r="S144"/>
    </row>
    <row r="145" spans="1:19" ht="18">
      <c r="A145"/>
      <c r="B145"/>
      <c r="C145"/>
      <c r="D145"/>
      <c r="E145"/>
      <c r="F145"/>
      <c r="G145"/>
      <c r="H145" s="9"/>
      <c r="I145"/>
      <c r="J145"/>
      <c r="K145"/>
      <c r="P145"/>
      <c r="Q145"/>
      <c r="R145"/>
      <c r="S145"/>
    </row>
    <row r="146" spans="1:19" ht="18">
      <c r="A146"/>
      <c r="B146"/>
      <c r="C146"/>
      <c r="D146"/>
      <c r="E146"/>
      <c r="F146"/>
      <c r="G146"/>
      <c r="H146" s="9"/>
      <c r="I146"/>
      <c r="J146"/>
      <c r="K146"/>
      <c r="P146"/>
      <c r="Q146"/>
      <c r="R146"/>
      <c r="S146"/>
    </row>
    <row r="147" spans="1:19" ht="18">
      <c r="A147"/>
      <c r="B147"/>
      <c r="C147"/>
      <c r="D147"/>
      <c r="E147"/>
      <c r="F147"/>
      <c r="G147"/>
      <c r="H147" s="9"/>
      <c r="I147"/>
      <c r="J147"/>
      <c r="K147"/>
      <c r="P147"/>
      <c r="Q147"/>
      <c r="R147"/>
      <c r="S147"/>
    </row>
    <row r="148" spans="1:19" ht="18">
      <c r="A148"/>
      <c r="B148"/>
      <c r="C148"/>
      <c r="D148"/>
      <c r="E148"/>
      <c r="F148"/>
      <c r="G148"/>
      <c r="H148" s="9"/>
      <c r="I148"/>
      <c r="J148"/>
      <c r="K148"/>
      <c r="P148"/>
      <c r="Q148"/>
      <c r="R148"/>
      <c r="S148"/>
    </row>
    <row r="149" spans="1:19" ht="18">
      <c r="A149"/>
      <c r="B149"/>
      <c r="C149"/>
      <c r="D149"/>
      <c r="E149"/>
      <c r="F149"/>
      <c r="G149"/>
      <c r="H149" s="9"/>
      <c r="I149"/>
      <c r="J149"/>
      <c r="K149"/>
      <c r="P149"/>
      <c r="Q149"/>
      <c r="R149"/>
      <c r="S149"/>
    </row>
    <row r="150" spans="1:19" ht="18">
      <c r="A150"/>
      <c r="B150"/>
      <c r="C150"/>
      <c r="D150"/>
      <c r="E150"/>
      <c r="F150"/>
      <c r="G150"/>
      <c r="H150" s="9"/>
      <c r="I150"/>
      <c r="J150"/>
      <c r="K150"/>
      <c r="P150"/>
      <c r="Q150"/>
      <c r="R150"/>
      <c r="S150"/>
    </row>
    <row r="151" spans="1:19" ht="18">
      <c r="A151"/>
      <c r="B151"/>
      <c r="C151"/>
      <c r="D151"/>
      <c r="E151"/>
      <c r="F151"/>
      <c r="G151"/>
      <c r="H151" s="9"/>
      <c r="I151"/>
      <c r="J151"/>
      <c r="K151"/>
      <c r="P151"/>
      <c r="Q151"/>
      <c r="R151"/>
      <c r="S151"/>
    </row>
    <row r="152" spans="1:19" ht="18">
      <c r="A152"/>
      <c r="B152"/>
      <c r="C152"/>
      <c r="D152"/>
      <c r="E152"/>
      <c r="F152"/>
      <c r="G152"/>
      <c r="H152" s="9"/>
      <c r="I152"/>
      <c r="J152"/>
      <c r="K152"/>
      <c r="P152"/>
      <c r="Q152"/>
      <c r="R152"/>
      <c r="S152"/>
    </row>
    <row r="153" spans="1:19" ht="18">
      <c r="A153"/>
      <c r="B153"/>
      <c r="C153"/>
      <c r="D153"/>
      <c r="E153"/>
      <c r="F153"/>
      <c r="G153"/>
      <c r="H153" s="9"/>
      <c r="I153"/>
      <c r="J153"/>
      <c r="K153"/>
      <c r="P153"/>
      <c r="Q153"/>
      <c r="R153"/>
      <c r="S153"/>
    </row>
    <row r="154" spans="1:19" ht="18">
      <c r="A154"/>
      <c r="B154"/>
      <c r="C154"/>
      <c r="D154"/>
      <c r="E154"/>
      <c r="F154"/>
      <c r="G154"/>
      <c r="I154"/>
      <c r="J154"/>
      <c r="K154"/>
      <c r="P154"/>
      <c r="Q154"/>
      <c r="R154"/>
      <c r="S154"/>
    </row>
    <row r="155" spans="1:19" ht="18">
      <c r="A155"/>
      <c r="B155"/>
      <c r="C155"/>
      <c r="D155"/>
      <c r="E155"/>
      <c r="F155"/>
      <c r="G155"/>
      <c r="I155"/>
      <c r="J155"/>
      <c r="K155"/>
      <c r="P155"/>
      <c r="Q155"/>
      <c r="R155"/>
      <c r="S155"/>
    </row>
    <row r="156" spans="1:19" ht="18">
      <c r="A156"/>
      <c r="B156"/>
      <c r="C156"/>
      <c r="D156"/>
      <c r="E156"/>
      <c r="F156"/>
      <c r="G156"/>
      <c r="I156"/>
      <c r="J156"/>
      <c r="K156"/>
      <c r="P156"/>
      <c r="Q156"/>
      <c r="R156"/>
      <c r="S156"/>
    </row>
    <row r="157" spans="1:19" ht="18">
      <c r="A157"/>
      <c r="B157"/>
      <c r="C157"/>
      <c r="D157"/>
      <c r="E157"/>
      <c r="F157"/>
      <c r="G157"/>
      <c r="I157"/>
      <c r="J157"/>
      <c r="K157"/>
      <c r="P157"/>
      <c r="Q157"/>
      <c r="R157"/>
      <c r="S157"/>
    </row>
    <row r="158" spans="1:19" ht="18">
      <c r="A158"/>
      <c r="B158"/>
      <c r="C158"/>
      <c r="D158"/>
      <c r="E158"/>
      <c r="F158"/>
      <c r="G158"/>
      <c r="I158"/>
      <c r="J158"/>
      <c r="K158"/>
      <c r="P158"/>
      <c r="Q158"/>
      <c r="R158"/>
      <c r="S158"/>
    </row>
    <row r="159" spans="1:19" ht="18">
      <c r="A159"/>
      <c r="B159"/>
      <c r="C159"/>
      <c r="D159"/>
      <c r="E159"/>
      <c r="F159"/>
      <c r="G159"/>
      <c r="I159"/>
      <c r="J159"/>
      <c r="K159"/>
      <c r="P159"/>
      <c r="Q159"/>
      <c r="R159"/>
      <c r="S159"/>
    </row>
    <row r="160" spans="1:19" ht="18">
      <c r="A160"/>
      <c r="B160"/>
      <c r="C160"/>
      <c r="D160"/>
      <c r="E160"/>
      <c r="F160"/>
      <c r="G160"/>
      <c r="I160"/>
      <c r="J160"/>
      <c r="K160"/>
      <c r="P160"/>
      <c r="Q160"/>
      <c r="R160"/>
      <c r="S160"/>
    </row>
    <row r="161" spans="1:19" ht="18">
      <c r="A161"/>
      <c r="B161"/>
      <c r="C161"/>
      <c r="D161"/>
      <c r="E161"/>
      <c r="F161"/>
      <c r="G161"/>
      <c r="I161"/>
      <c r="J161"/>
      <c r="K161"/>
      <c r="P161"/>
      <c r="Q161"/>
      <c r="R161"/>
      <c r="S161"/>
    </row>
    <row r="162" spans="1:19" ht="18">
      <c r="A162"/>
      <c r="B162"/>
      <c r="C162"/>
      <c r="D162"/>
      <c r="E162"/>
      <c r="F162"/>
      <c r="G162"/>
      <c r="I162"/>
      <c r="J162"/>
      <c r="K162"/>
      <c r="P162"/>
      <c r="Q162"/>
      <c r="R162"/>
      <c r="S162"/>
    </row>
    <row r="163" spans="1:19" ht="18">
      <c r="A163"/>
      <c r="B163"/>
      <c r="C163"/>
      <c r="D163"/>
      <c r="E163"/>
      <c r="F163"/>
      <c r="G163"/>
      <c r="I163"/>
      <c r="J163"/>
      <c r="K163"/>
      <c r="P163"/>
      <c r="Q163"/>
      <c r="R163"/>
      <c r="S163"/>
    </row>
    <row r="164" spans="1:19" ht="18">
      <c r="A164"/>
      <c r="B164"/>
      <c r="C164"/>
      <c r="D164"/>
      <c r="E164"/>
      <c r="F164"/>
      <c r="G164"/>
      <c r="I164"/>
      <c r="J164"/>
      <c r="K164"/>
      <c r="P164"/>
      <c r="Q164"/>
      <c r="R164"/>
      <c r="S164"/>
    </row>
    <row r="165" spans="1:19" ht="18">
      <c r="A165"/>
      <c r="B165"/>
      <c r="C165"/>
      <c r="D165"/>
      <c r="E165"/>
      <c r="F165"/>
      <c r="G165"/>
      <c r="I165"/>
      <c r="J165"/>
      <c r="K165"/>
      <c r="P165"/>
      <c r="Q165"/>
      <c r="R165"/>
      <c r="S165"/>
    </row>
    <row r="166" spans="1:19" ht="18">
      <c r="A166"/>
      <c r="B166"/>
      <c r="C166"/>
      <c r="D166"/>
      <c r="E166"/>
      <c r="F166"/>
      <c r="G166"/>
      <c r="I166"/>
      <c r="J166"/>
      <c r="K166"/>
      <c r="P166"/>
      <c r="Q166"/>
      <c r="R166"/>
      <c r="S166"/>
    </row>
    <row r="167" spans="1:19" ht="18">
      <c r="A167"/>
      <c r="B167"/>
      <c r="C167"/>
      <c r="D167"/>
      <c r="E167"/>
      <c r="F167"/>
      <c r="G167"/>
      <c r="I167"/>
      <c r="J167"/>
      <c r="K167"/>
      <c r="P167"/>
      <c r="Q167"/>
      <c r="R167"/>
      <c r="S167"/>
    </row>
    <row r="168" spans="1:19" ht="18">
      <c r="A168"/>
      <c r="B168"/>
      <c r="C168"/>
      <c r="D168"/>
      <c r="E168"/>
      <c r="F168"/>
      <c r="G168"/>
      <c r="I168"/>
      <c r="J168"/>
      <c r="K168"/>
      <c r="P168"/>
      <c r="Q168"/>
      <c r="R168"/>
      <c r="S168"/>
    </row>
    <row r="169" spans="1:19" ht="18">
      <c r="A169"/>
      <c r="B169"/>
      <c r="C169"/>
      <c r="D169"/>
      <c r="E169"/>
      <c r="F169"/>
      <c r="G169"/>
      <c r="I169"/>
      <c r="J169"/>
      <c r="K169"/>
      <c r="P169"/>
      <c r="Q169"/>
      <c r="R169"/>
      <c r="S169"/>
    </row>
    <row r="170" spans="1:19" ht="18">
      <c r="A170"/>
      <c r="B170"/>
      <c r="C170"/>
      <c r="D170"/>
      <c r="E170"/>
      <c r="F170"/>
      <c r="G170"/>
      <c r="I170"/>
      <c r="J170"/>
      <c r="K170"/>
      <c r="P170"/>
      <c r="Q170"/>
      <c r="R170"/>
      <c r="S170"/>
    </row>
    <row r="171" spans="1:19" ht="18">
      <c r="A171"/>
      <c r="B171"/>
      <c r="C171"/>
      <c r="D171"/>
      <c r="E171"/>
      <c r="F171"/>
      <c r="G171"/>
      <c r="I171"/>
      <c r="J171"/>
      <c r="K171"/>
      <c r="P171"/>
      <c r="Q171"/>
      <c r="R171"/>
      <c r="S171"/>
    </row>
    <row r="172" spans="1:19" ht="18">
      <c r="A172"/>
      <c r="B172"/>
      <c r="C172"/>
      <c r="D172"/>
      <c r="E172"/>
      <c r="F172"/>
      <c r="G172"/>
      <c r="I172"/>
      <c r="J172"/>
      <c r="K172"/>
      <c r="P172"/>
      <c r="Q172"/>
      <c r="R172"/>
      <c r="S172"/>
    </row>
    <row r="173" spans="1:19" ht="18">
      <c r="A173"/>
      <c r="B173"/>
      <c r="C173"/>
      <c r="D173"/>
      <c r="E173"/>
      <c r="F173"/>
      <c r="G173"/>
      <c r="I173"/>
      <c r="J173"/>
      <c r="K173"/>
      <c r="P173"/>
      <c r="Q173"/>
      <c r="R173"/>
      <c r="S173"/>
    </row>
    <row r="174" spans="1:19" ht="18">
      <c r="A174"/>
      <c r="B174"/>
      <c r="C174"/>
      <c r="D174"/>
      <c r="E174"/>
      <c r="F174"/>
      <c r="G174"/>
      <c r="I174"/>
      <c r="J174"/>
      <c r="K174"/>
      <c r="P174"/>
      <c r="Q174"/>
      <c r="R174"/>
      <c r="S174"/>
    </row>
    <row r="175" spans="1:19" ht="18">
      <c r="A175"/>
      <c r="B175"/>
      <c r="C175"/>
      <c r="D175"/>
      <c r="E175"/>
      <c r="F175"/>
      <c r="G175"/>
      <c r="I175"/>
      <c r="J175"/>
      <c r="K175"/>
      <c r="P175"/>
      <c r="Q175"/>
      <c r="R175"/>
      <c r="S175"/>
    </row>
    <row r="176" spans="1:19" ht="18">
      <c r="A176"/>
      <c r="B176"/>
      <c r="C176"/>
      <c r="D176"/>
      <c r="E176"/>
      <c r="F176"/>
      <c r="G176"/>
      <c r="I176"/>
      <c r="J176"/>
      <c r="K176"/>
      <c r="P176"/>
      <c r="Q176"/>
      <c r="R176"/>
      <c r="S176"/>
    </row>
    <row r="177" spans="1:19" ht="18">
      <c r="A177"/>
      <c r="B177"/>
      <c r="C177"/>
      <c r="D177"/>
      <c r="E177"/>
      <c r="F177"/>
      <c r="G177"/>
      <c r="I177"/>
      <c r="J177"/>
      <c r="K177"/>
      <c r="P177"/>
      <c r="Q177"/>
      <c r="R177"/>
      <c r="S177"/>
    </row>
    <row r="178" spans="1:19" ht="18">
      <c r="A178"/>
      <c r="B178"/>
      <c r="C178"/>
      <c r="D178"/>
      <c r="E178"/>
      <c r="F178"/>
      <c r="G178"/>
      <c r="I178"/>
      <c r="J178"/>
      <c r="K178"/>
      <c r="P178"/>
      <c r="Q178"/>
      <c r="R178"/>
      <c r="S178"/>
    </row>
    <row r="179" spans="1:19" ht="18">
      <c r="A179"/>
      <c r="B179"/>
      <c r="C179"/>
      <c r="D179"/>
      <c r="E179"/>
      <c r="F179"/>
      <c r="G179"/>
      <c r="I179"/>
      <c r="J179"/>
      <c r="K179"/>
      <c r="P179"/>
      <c r="Q179"/>
      <c r="R179"/>
      <c r="S179"/>
    </row>
    <row r="180" spans="1:19" ht="18">
      <c r="A180"/>
      <c r="B180"/>
      <c r="C180"/>
      <c r="D180"/>
      <c r="E180"/>
      <c r="F180"/>
      <c r="G180"/>
      <c r="I180"/>
      <c r="J180"/>
      <c r="K180"/>
      <c r="P180"/>
      <c r="Q180"/>
      <c r="R180"/>
      <c r="S180"/>
    </row>
    <row r="181" spans="1:19" ht="18">
      <c r="A181"/>
      <c r="B181"/>
      <c r="C181"/>
      <c r="D181"/>
      <c r="E181"/>
      <c r="F181"/>
      <c r="G181"/>
      <c r="I181"/>
      <c r="J181"/>
      <c r="K181"/>
      <c r="P181"/>
      <c r="Q181"/>
      <c r="R181"/>
      <c r="S181"/>
    </row>
    <row r="182" spans="1:19" ht="18">
      <c r="A182"/>
      <c r="B182"/>
      <c r="C182"/>
      <c r="D182"/>
      <c r="E182"/>
      <c r="F182"/>
      <c r="G182"/>
      <c r="I182"/>
      <c r="J182"/>
      <c r="K182"/>
      <c r="P182"/>
      <c r="Q182"/>
      <c r="R182"/>
      <c r="S182"/>
    </row>
    <row r="183" spans="1:19" ht="18">
      <c r="A183"/>
      <c r="B183"/>
      <c r="C183"/>
      <c r="D183"/>
      <c r="E183"/>
      <c r="F183"/>
      <c r="G183"/>
      <c r="I183"/>
      <c r="J183"/>
      <c r="K183"/>
      <c r="P183"/>
      <c r="Q183"/>
      <c r="R183"/>
      <c r="S183"/>
    </row>
    <row r="184" spans="1:19" ht="18">
      <c r="A184"/>
      <c r="B184"/>
      <c r="C184"/>
      <c r="D184"/>
      <c r="E184"/>
      <c r="F184"/>
      <c r="G184"/>
      <c r="I184"/>
      <c r="J184"/>
      <c r="K184"/>
      <c r="P184"/>
      <c r="Q184"/>
      <c r="R184"/>
      <c r="S184"/>
    </row>
    <row r="185" spans="1:19" ht="18">
      <c r="A185"/>
      <c r="B185"/>
      <c r="C185"/>
      <c r="D185"/>
      <c r="E185"/>
      <c r="F185"/>
      <c r="G185"/>
      <c r="I185"/>
      <c r="J185"/>
      <c r="K185"/>
      <c r="P185"/>
      <c r="Q185"/>
      <c r="R185"/>
      <c r="S185"/>
    </row>
    <row r="186" spans="1:19" ht="18">
      <c r="A186"/>
      <c r="B186"/>
      <c r="C186"/>
      <c r="D186"/>
      <c r="E186"/>
      <c r="F186"/>
      <c r="G186"/>
      <c r="I186"/>
      <c r="J186"/>
      <c r="K186"/>
      <c r="P186"/>
      <c r="Q186"/>
      <c r="R186"/>
      <c r="S186"/>
    </row>
    <row r="187" spans="1:19" ht="18">
      <c r="A187"/>
      <c r="B187"/>
      <c r="C187"/>
      <c r="D187"/>
      <c r="E187"/>
      <c r="F187"/>
      <c r="G187"/>
      <c r="I187"/>
      <c r="J187"/>
      <c r="K187"/>
      <c r="P187"/>
      <c r="Q187"/>
      <c r="R187"/>
      <c r="S187"/>
    </row>
    <row r="188" spans="1:19" ht="18">
      <c r="A188"/>
      <c r="B188"/>
      <c r="C188"/>
      <c r="D188"/>
      <c r="E188"/>
      <c r="F188"/>
      <c r="G188"/>
      <c r="I188"/>
      <c r="J188"/>
      <c r="K188"/>
      <c r="P188"/>
      <c r="Q188"/>
      <c r="R188"/>
      <c r="S188"/>
    </row>
    <row r="189" spans="1:19" ht="18">
      <c r="A189"/>
      <c r="B189"/>
      <c r="C189"/>
      <c r="D189"/>
      <c r="E189"/>
      <c r="F189"/>
      <c r="G189"/>
      <c r="I189"/>
      <c r="J189"/>
      <c r="K189"/>
      <c r="P189"/>
      <c r="Q189"/>
      <c r="R189"/>
      <c r="S189"/>
    </row>
    <row r="190" spans="1:19" ht="18">
      <c r="A190"/>
      <c r="B190"/>
      <c r="C190"/>
      <c r="D190"/>
      <c r="E190"/>
      <c r="F190"/>
      <c r="G190"/>
      <c r="I190"/>
      <c r="J190"/>
      <c r="K190"/>
      <c r="P190"/>
      <c r="Q190"/>
      <c r="R190"/>
      <c r="S190"/>
    </row>
    <row r="191" spans="1:19" ht="18">
      <c r="A191"/>
      <c r="B191"/>
      <c r="C191"/>
      <c r="D191"/>
      <c r="E191"/>
      <c r="F191"/>
      <c r="G191"/>
      <c r="I191"/>
      <c r="J191"/>
      <c r="K191"/>
      <c r="P191"/>
      <c r="Q191"/>
      <c r="R191"/>
      <c r="S191"/>
    </row>
    <row r="192" spans="1:19" ht="18">
      <c r="A192"/>
      <c r="B192"/>
      <c r="C192"/>
      <c r="D192"/>
      <c r="E192"/>
      <c r="F192"/>
      <c r="G192"/>
      <c r="I192"/>
      <c r="J192"/>
      <c r="K192"/>
      <c r="P192"/>
      <c r="Q192"/>
      <c r="R192"/>
      <c r="S192"/>
    </row>
    <row r="193" spans="1:19" ht="18">
      <c r="A193"/>
      <c r="B193"/>
      <c r="C193"/>
      <c r="D193"/>
      <c r="E193"/>
      <c r="F193"/>
      <c r="G193"/>
      <c r="I193"/>
      <c r="J193"/>
      <c r="K193"/>
      <c r="P193"/>
      <c r="Q193"/>
      <c r="R193"/>
      <c r="S193"/>
    </row>
    <row r="194" spans="1:19" ht="18">
      <c r="A194"/>
      <c r="B194"/>
      <c r="C194"/>
      <c r="D194"/>
      <c r="E194"/>
      <c r="F194"/>
      <c r="G194"/>
      <c r="I194"/>
      <c r="J194"/>
      <c r="K194"/>
      <c r="P194"/>
      <c r="Q194"/>
      <c r="R194"/>
      <c r="S194"/>
    </row>
    <row r="195" spans="1:19" ht="18">
      <c r="A195"/>
      <c r="B195"/>
      <c r="C195"/>
      <c r="D195"/>
      <c r="E195"/>
      <c r="F195"/>
      <c r="G195"/>
      <c r="I195"/>
      <c r="J195"/>
      <c r="K195"/>
      <c r="P195"/>
      <c r="Q195"/>
      <c r="R195"/>
      <c r="S195"/>
    </row>
    <row r="196" spans="1:19" ht="18">
      <c r="A196"/>
      <c r="B196"/>
      <c r="C196"/>
      <c r="D196"/>
      <c r="E196"/>
      <c r="F196"/>
      <c r="G196"/>
      <c r="I196"/>
      <c r="J196"/>
      <c r="K196"/>
      <c r="P196"/>
      <c r="Q196"/>
      <c r="R196"/>
      <c r="S196"/>
    </row>
    <row r="197" spans="1:19" ht="18">
      <c r="A197"/>
      <c r="B197"/>
      <c r="C197"/>
      <c r="D197"/>
      <c r="E197"/>
      <c r="F197"/>
      <c r="G197"/>
      <c r="I197"/>
      <c r="J197"/>
      <c r="K197"/>
      <c r="P197"/>
      <c r="Q197"/>
      <c r="R197"/>
      <c r="S197"/>
    </row>
    <row r="198" spans="1:19" ht="18">
      <c r="A198"/>
      <c r="B198"/>
      <c r="C198"/>
      <c r="D198"/>
      <c r="E198"/>
      <c r="F198"/>
      <c r="G198"/>
      <c r="I198"/>
      <c r="J198"/>
      <c r="K198"/>
      <c r="P198"/>
      <c r="Q198"/>
      <c r="R198"/>
      <c r="S198"/>
    </row>
    <row r="199" spans="1:19" ht="18">
      <c r="A199"/>
      <c r="B199"/>
      <c r="C199"/>
      <c r="D199"/>
      <c r="E199"/>
      <c r="F199"/>
      <c r="G199"/>
      <c r="I199"/>
      <c r="J199"/>
      <c r="K199"/>
      <c r="P199"/>
      <c r="Q199"/>
      <c r="R199"/>
      <c r="S199"/>
    </row>
    <row r="200" spans="1:19" ht="18">
      <c r="A200"/>
      <c r="B200"/>
      <c r="C200"/>
      <c r="D200"/>
      <c r="E200"/>
      <c r="F200"/>
      <c r="G200"/>
      <c r="I200"/>
      <c r="J200"/>
      <c r="K200"/>
      <c r="P200"/>
      <c r="Q200"/>
      <c r="R200"/>
      <c r="S200"/>
    </row>
    <row r="201" spans="1:19">
      <c r="A201"/>
      <c r="B201"/>
      <c r="C201"/>
      <c r="I201"/>
      <c r="J201"/>
      <c r="K201"/>
      <c r="P201"/>
      <c r="Q201"/>
      <c r="R201"/>
      <c r="S201"/>
    </row>
    <row r="202" spans="1:19">
      <c r="A202"/>
      <c r="B202"/>
      <c r="C202"/>
      <c r="I202"/>
      <c r="J202"/>
      <c r="K202"/>
      <c r="P202"/>
      <c r="Q202"/>
      <c r="R202"/>
      <c r="S202"/>
    </row>
    <row r="203" spans="1:19">
      <c r="A203"/>
      <c r="B203"/>
      <c r="C203"/>
      <c r="I203"/>
      <c r="J203"/>
      <c r="K203"/>
      <c r="P203"/>
      <c r="Q203"/>
      <c r="R203"/>
      <c r="S203"/>
    </row>
    <row r="204" spans="1:19">
      <c r="A204"/>
      <c r="B204"/>
      <c r="C204"/>
      <c r="I204"/>
      <c r="J204"/>
      <c r="K204"/>
      <c r="P204"/>
      <c r="Q204"/>
      <c r="R204"/>
      <c r="S204"/>
    </row>
    <row r="205" spans="1:19">
      <c r="A205"/>
      <c r="B205"/>
      <c r="C205"/>
      <c r="I205"/>
      <c r="J205"/>
      <c r="K205"/>
      <c r="P205"/>
      <c r="Q205"/>
      <c r="R205"/>
      <c r="S205"/>
    </row>
    <row r="206" spans="1:19">
      <c r="A206"/>
      <c r="B206"/>
      <c r="C206"/>
      <c r="I206"/>
      <c r="J206"/>
      <c r="K206"/>
      <c r="P206"/>
      <c r="Q206"/>
      <c r="R206"/>
      <c r="S206"/>
    </row>
    <row r="207" spans="1:19">
      <c r="A207"/>
      <c r="B207"/>
      <c r="C207"/>
      <c r="I207"/>
      <c r="J207"/>
      <c r="K207"/>
      <c r="P207"/>
      <c r="Q207"/>
      <c r="R207"/>
      <c r="S207"/>
    </row>
    <row r="208" spans="1:19">
      <c r="A208"/>
      <c r="B208"/>
      <c r="C208"/>
      <c r="I208"/>
      <c r="J208"/>
      <c r="K208"/>
      <c r="P208"/>
      <c r="Q208"/>
      <c r="R208"/>
      <c r="S208"/>
    </row>
    <row r="209" spans="1:19">
      <c r="A209"/>
      <c r="B209"/>
      <c r="C209"/>
      <c r="I209"/>
      <c r="J209"/>
      <c r="K209"/>
      <c r="P209"/>
      <c r="Q209"/>
      <c r="R209"/>
      <c r="S209"/>
    </row>
    <row r="210" spans="1:19">
      <c r="A210"/>
      <c r="B210"/>
      <c r="C210"/>
      <c r="I210"/>
      <c r="J210"/>
      <c r="K210"/>
      <c r="P210"/>
      <c r="Q210"/>
      <c r="R210"/>
      <c r="S210"/>
    </row>
    <row r="211" spans="1:19">
      <c r="A211"/>
      <c r="B211"/>
      <c r="C211"/>
      <c r="I211"/>
      <c r="J211"/>
      <c r="K211"/>
      <c r="P211"/>
      <c r="Q211"/>
      <c r="R211"/>
      <c r="S211"/>
    </row>
    <row r="212" spans="1:19">
      <c r="A212"/>
      <c r="B212"/>
      <c r="C212"/>
      <c r="I212"/>
      <c r="J212"/>
      <c r="K212"/>
      <c r="P212"/>
      <c r="Q212"/>
      <c r="R212"/>
      <c r="S212"/>
    </row>
    <row r="213" spans="1:19">
      <c r="A213"/>
      <c r="B213"/>
      <c r="C213"/>
      <c r="I213"/>
      <c r="J213"/>
      <c r="K213"/>
      <c r="P213"/>
      <c r="Q213"/>
      <c r="R213"/>
      <c r="S213"/>
    </row>
    <row r="214" spans="1:19">
      <c r="A214"/>
      <c r="B214"/>
      <c r="C214"/>
      <c r="I214"/>
      <c r="J214"/>
      <c r="K214"/>
      <c r="P214"/>
      <c r="Q214"/>
      <c r="R214"/>
      <c r="S214"/>
    </row>
    <row r="215" spans="1:19">
      <c r="A215"/>
      <c r="B215"/>
      <c r="C215"/>
      <c r="I215"/>
      <c r="J215"/>
      <c r="K215"/>
      <c r="P215"/>
      <c r="Q215"/>
      <c r="R215"/>
      <c r="S215"/>
    </row>
    <row r="216" spans="1:19">
      <c r="A216"/>
      <c r="B216"/>
      <c r="C216"/>
      <c r="I216"/>
      <c r="J216"/>
      <c r="K216"/>
      <c r="P216"/>
      <c r="Q216"/>
      <c r="R216"/>
      <c r="S216"/>
    </row>
    <row r="217" spans="1:19">
      <c r="A217"/>
      <c r="B217"/>
      <c r="C217"/>
      <c r="I217"/>
      <c r="J217"/>
      <c r="K217"/>
      <c r="P217"/>
      <c r="Q217"/>
      <c r="R217"/>
      <c r="S217"/>
    </row>
    <row r="218" spans="1:19">
      <c r="A218"/>
      <c r="B218"/>
      <c r="C218"/>
      <c r="I218"/>
      <c r="J218"/>
      <c r="K218"/>
      <c r="P218"/>
      <c r="Q218"/>
      <c r="R218"/>
      <c r="S218"/>
    </row>
    <row r="219" spans="1:19">
      <c r="A219"/>
      <c r="B219"/>
      <c r="C219"/>
      <c r="I219"/>
      <c r="J219"/>
      <c r="K219"/>
      <c r="P219"/>
      <c r="Q219"/>
      <c r="R219"/>
      <c r="S219"/>
    </row>
    <row r="220" spans="1:19">
      <c r="A220"/>
      <c r="B220"/>
      <c r="C220"/>
      <c r="I220"/>
      <c r="J220"/>
      <c r="K220"/>
      <c r="P220"/>
      <c r="Q220"/>
      <c r="R220"/>
      <c r="S220"/>
    </row>
    <row r="221" spans="1:19">
      <c r="A221"/>
      <c r="B221"/>
      <c r="C221"/>
      <c r="I221"/>
      <c r="J221"/>
      <c r="K221"/>
      <c r="P221"/>
      <c r="Q221"/>
      <c r="R221"/>
      <c r="S221"/>
    </row>
    <row r="222" spans="1:19">
      <c r="A222"/>
      <c r="B222"/>
      <c r="C222"/>
      <c r="I222"/>
      <c r="J222"/>
      <c r="K222"/>
      <c r="P222"/>
      <c r="Q222"/>
      <c r="R222"/>
      <c r="S222"/>
    </row>
    <row r="223" spans="1:19">
      <c r="A223"/>
      <c r="B223"/>
      <c r="C223"/>
      <c r="I223"/>
      <c r="J223"/>
      <c r="K223"/>
      <c r="P223"/>
      <c r="Q223"/>
      <c r="R223"/>
      <c r="S223"/>
    </row>
    <row r="224" spans="1:19">
      <c r="A224"/>
      <c r="B224"/>
      <c r="C224"/>
      <c r="I224"/>
      <c r="J224"/>
      <c r="K224"/>
      <c r="P224"/>
      <c r="Q224"/>
      <c r="R224"/>
      <c r="S224"/>
    </row>
    <row r="225" spans="1:19">
      <c r="A225"/>
      <c r="B225"/>
      <c r="C225"/>
      <c r="I225"/>
      <c r="J225"/>
      <c r="K225"/>
      <c r="P225"/>
      <c r="Q225"/>
      <c r="R225"/>
      <c r="S225"/>
    </row>
    <row r="226" spans="1:19">
      <c r="A226"/>
      <c r="B226"/>
      <c r="C226"/>
      <c r="I226"/>
      <c r="J226"/>
      <c r="K226"/>
      <c r="P226"/>
      <c r="Q226"/>
      <c r="R226"/>
      <c r="S226"/>
    </row>
    <row r="227" spans="1:19">
      <c r="A227"/>
      <c r="B227"/>
      <c r="C227"/>
      <c r="I227"/>
      <c r="J227"/>
      <c r="K227"/>
      <c r="P227"/>
      <c r="Q227"/>
      <c r="R227"/>
      <c r="S227"/>
    </row>
    <row r="228" spans="1:19">
      <c r="A228"/>
      <c r="B228"/>
      <c r="C228"/>
      <c r="I228"/>
      <c r="J228"/>
      <c r="K228"/>
      <c r="P228"/>
      <c r="Q228"/>
      <c r="R228"/>
      <c r="S228"/>
    </row>
    <row r="229" spans="1:19">
      <c r="A229"/>
      <c r="B229"/>
      <c r="I229"/>
      <c r="J229"/>
      <c r="K229"/>
      <c r="P229"/>
      <c r="Q229"/>
      <c r="R229"/>
      <c r="S229"/>
    </row>
    <row r="230" spans="1:19">
      <c r="A230"/>
      <c r="B230"/>
      <c r="I230"/>
      <c r="J230"/>
      <c r="K230"/>
      <c r="P230"/>
      <c r="Q230"/>
      <c r="R230"/>
      <c r="S230"/>
    </row>
    <row r="231" spans="1:19">
      <c r="A231"/>
      <c r="B231"/>
      <c r="I231"/>
      <c r="J231"/>
      <c r="K231"/>
      <c r="P231"/>
      <c r="Q231"/>
      <c r="R231"/>
      <c r="S231"/>
    </row>
    <row r="232" spans="1:19">
      <c r="A232"/>
      <c r="B232"/>
      <c r="I232"/>
      <c r="J232"/>
      <c r="K232"/>
      <c r="P232"/>
      <c r="Q232"/>
      <c r="R232"/>
      <c r="S232"/>
    </row>
    <row r="233" spans="1:19">
      <c r="A233"/>
      <c r="B233"/>
      <c r="I233"/>
      <c r="J233"/>
      <c r="K233"/>
      <c r="P233"/>
      <c r="Q233"/>
      <c r="R233"/>
      <c r="S233"/>
    </row>
    <row r="234" spans="1:19">
      <c r="A234"/>
      <c r="B234"/>
      <c r="I234"/>
      <c r="J234"/>
      <c r="K234"/>
      <c r="P234"/>
      <c r="Q234"/>
      <c r="R234"/>
      <c r="S234"/>
    </row>
    <row r="235" spans="1:19">
      <c r="A235"/>
      <c r="B235"/>
      <c r="I235"/>
      <c r="J235"/>
      <c r="K235"/>
      <c r="P235"/>
      <c r="Q235"/>
      <c r="R235"/>
      <c r="S235"/>
    </row>
    <row r="236" spans="1:19">
      <c r="A236"/>
      <c r="B236"/>
      <c r="I236"/>
      <c r="J236"/>
      <c r="K236"/>
      <c r="P236"/>
      <c r="Q236"/>
      <c r="R236"/>
      <c r="S236"/>
    </row>
    <row r="237" spans="1:19">
      <c r="A237"/>
      <c r="B237"/>
      <c r="I237"/>
      <c r="J237"/>
      <c r="K237"/>
      <c r="P237"/>
      <c r="Q237"/>
      <c r="R237"/>
      <c r="S237"/>
    </row>
    <row r="238" spans="1:19">
      <c r="A238"/>
      <c r="B238"/>
      <c r="I238"/>
      <c r="J238"/>
      <c r="K238"/>
      <c r="P238"/>
      <c r="Q238"/>
      <c r="R238"/>
      <c r="S238"/>
    </row>
    <row r="239" spans="1:19">
      <c r="A239"/>
      <c r="B239"/>
      <c r="I239"/>
      <c r="J239"/>
      <c r="K239"/>
      <c r="P239"/>
      <c r="Q239"/>
      <c r="R239"/>
      <c r="S239"/>
    </row>
    <row r="240" spans="1:19">
      <c r="A240"/>
      <c r="B240"/>
      <c r="I240"/>
      <c r="J240"/>
      <c r="K240"/>
      <c r="P240"/>
      <c r="Q240"/>
      <c r="R240"/>
      <c r="S240"/>
    </row>
    <row r="241" spans="1:19">
      <c r="A241"/>
      <c r="B241"/>
      <c r="I241"/>
      <c r="J241"/>
      <c r="K241"/>
      <c r="P241"/>
      <c r="Q241"/>
      <c r="R241"/>
      <c r="S241"/>
    </row>
    <row r="242" spans="1:19">
      <c r="A242"/>
      <c r="B242"/>
      <c r="I242"/>
      <c r="J242"/>
      <c r="K242"/>
      <c r="P242"/>
      <c r="Q242"/>
      <c r="R242"/>
      <c r="S242"/>
    </row>
    <row r="243" spans="1:19">
      <c r="A243"/>
      <c r="B243"/>
      <c r="I243"/>
      <c r="J243"/>
      <c r="K243"/>
      <c r="P243"/>
      <c r="Q243"/>
      <c r="R243"/>
      <c r="S243"/>
    </row>
    <row r="244" spans="1:19">
      <c r="A244"/>
      <c r="B244"/>
      <c r="I244"/>
      <c r="J244"/>
      <c r="K244"/>
      <c r="P244"/>
      <c r="Q244"/>
      <c r="R244"/>
      <c r="S244"/>
    </row>
    <row r="245" spans="1:19">
      <c r="A245"/>
      <c r="B245"/>
      <c r="I245"/>
      <c r="J245"/>
      <c r="K245"/>
      <c r="P245"/>
      <c r="Q245"/>
      <c r="R245"/>
      <c r="S245"/>
    </row>
    <row r="246" spans="1:19">
      <c r="A246"/>
      <c r="B246"/>
      <c r="I246"/>
      <c r="J246"/>
      <c r="K246"/>
      <c r="P246"/>
      <c r="Q246"/>
      <c r="R246"/>
      <c r="S246"/>
    </row>
    <row r="247" spans="1:19">
      <c r="A247"/>
      <c r="B247"/>
      <c r="I247"/>
      <c r="J247"/>
      <c r="K247"/>
      <c r="P247"/>
      <c r="Q247"/>
      <c r="R247"/>
      <c r="S247"/>
    </row>
    <row r="248" spans="1:19">
      <c r="A248"/>
      <c r="B248"/>
      <c r="I248"/>
      <c r="J248"/>
      <c r="K248"/>
      <c r="P248"/>
      <c r="Q248"/>
      <c r="R248"/>
      <c r="S248"/>
    </row>
    <row r="249" spans="1:19">
      <c r="A249"/>
      <c r="B249"/>
      <c r="I249"/>
      <c r="J249"/>
      <c r="K249"/>
      <c r="P249"/>
      <c r="Q249"/>
      <c r="R249"/>
      <c r="S249"/>
    </row>
    <row r="250" spans="1:19">
      <c r="A250"/>
      <c r="B250"/>
      <c r="I250"/>
      <c r="J250"/>
      <c r="K250"/>
      <c r="P250"/>
      <c r="Q250"/>
      <c r="R250"/>
      <c r="S250"/>
    </row>
    <row r="251" spans="1:19">
      <c r="A251"/>
      <c r="B251"/>
      <c r="I251"/>
      <c r="J251"/>
      <c r="K251"/>
      <c r="P251"/>
      <c r="Q251"/>
      <c r="R251"/>
      <c r="S251"/>
    </row>
    <row r="252" spans="1:19">
      <c r="A252"/>
      <c r="B252"/>
      <c r="I252"/>
      <c r="J252"/>
      <c r="K252"/>
      <c r="P252"/>
      <c r="Q252"/>
      <c r="R252"/>
      <c r="S252"/>
    </row>
    <row r="253" spans="1:19">
      <c r="A253"/>
      <c r="B253"/>
      <c r="I253"/>
      <c r="J253"/>
      <c r="K253"/>
      <c r="P253"/>
      <c r="Q253"/>
      <c r="R253"/>
      <c r="S253"/>
    </row>
    <row r="254" spans="1:19">
      <c r="A254"/>
      <c r="B254"/>
      <c r="I254"/>
      <c r="J254"/>
      <c r="K254"/>
      <c r="P254"/>
      <c r="Q254"/>
      <c r="R254"/>
      <c r="S254"/>
    </row>
    <row r="255" spans="1:19">
      <c r="A255"/>
      <c r="B255"/>
      <c r="I255"/>
      <c r="J255"/>
      <c r="K255"/>
      <c r="P255"/>
      <c r="Q255"/>
      <c r="R255"/>
      <c r="S255"/>
    </row>
    <row r="256" spans="1:19">
      <c r="A256"/>
      <c r="B256"/>
      <c r="I256"/>
      <c r="J256"/>
      <c r="K256"/>
      <c r="P256"/>
      <c r="Q256"/>
      <c r="R256"/>
      <c r="S256"/>
    </row>
    <row r="257" spans="1:19">
      <c r="A257"/>
      <c r="B257"/>
      <c r="I257"/>
      <c r="J257"/>
      <c r="K257"/>
      <c r="P257"/>
      <c r="Q257"/>
      <c r="R257"/>
      <c r="S257"/>
    </row>
    <row r="258" spans="1:19">
      <c r="A258"/>
      <c r="B258"/>
      <c r="I258"/>
      <c r="J258"/>
      <c r="K258"/>
      <c r="P258"/>
      <c r="Q258"/>
      <c r="R258"/>
      <c r="S258"/>
    </row>
    <row r="259" spans="1:19">
      <c r="A259"/>
      <c r="B259"/>
      <c r="I259"/>
      <c r="J259"/>
      <c r="K259"/>
      <c r="P259"/>
      <c r="Q259"/>
      <c r="R259"/>
      <c r="S259"/>
    </row>
    <row r="260" spans="1:19">
      <c r="A260"/>
      <c r="B260"/>
      <c r="I260"/>
      <c r="J260"/>
      <c r="K260"/>
      <c r="P260"/>
      <c r="Q260"/>
      <c r="R260"/>
      <c r="S260"/>
    </row>
    <row r="261" spans="1:19">
      <c r="A261"/>
      <c r="B261"/>
      <c r="I261"/>
      <c r="J261"/>
      <c r="K261"/>
      <c r="P261"/>
      <c r="Q261"/>
      <c r="R261"/>
      <c r="S261"/>
    </row>
    <row r="262" spans="1:19">
      <c r="A262"/>
      <c r="B262"/>
      <c r="I262"/>
      <c r="J262"/>
      <c r="K262"/>
      <c r="P262"/>
      <c r="Q262"/>
      <c r="R262"/>
      <c r="S262"/>
    </row>
    <row r="263" spans="1:19">
      <c r="A263"/>
      <c r="B263"/>
      <c r="I263"/>
      <c r="J263"/>
      <c r="K263"/>
      <c r="P263"/>
      <c r="Q263"/>
      <c r="R263"/>
      <c r="S263"/>
    </row>
    <row r="264" spans="1:19">
      <c r="A264"/>
      <c r="B264"/>
      <c r="I264"/>
      <c r="J264"/>
      <c r="K264"/>
      <c r="P264"/>
      <c r="Q264"/>
      <c r="R264"/>
      <c r="S264"/>
    </row>
    <row r="265" spans="1:19">
      <c r="A265"/>
      <c r="B265"/>
      <c r="I265"/>
      <c r="J265"/>
      <c r="K265"/>
      <c r="P265"/>
      <c r="Q265"/>
      <c r="R265"/>
      <c r="S265"/>
    </row>
    <row r="266" spans="1:19">
      <c r="A266"/>
      <c r="B266"/>
      <c r="I266"/>
      <c r="J266"/>
      <c r="K266"/>
      <c r="P266"/>
      <c r="Q266"/>
      <c r="R266"/>
      <c r="S266"/>
    </row>
    <row r="267" spans="1:19">
      <c r="A267"/>
      <c r="B267"/>
      <c r="I267"/>
      <c r="J267"/>
      <c r="K267"/>
      <c r="P267"/>
      <c r="Q267"/>
      <c r="R267"/>
      <c r="S267"/>
    </row>
    <row r="268" spans="1:19">
      <c r="A268"/>
      <c r="B268"/>
      <c r="I268"/>
      <c r="J268"/>
      <c r="K268"/>
      <c r="P268"/>
      <c r="Q268"/>
      <c r="R268"/>
      <c r="S268"/>
    </row>
    <row r="269" spans="1:19">
      <c r="A269"/>
      <c r="B269"/>
      <c r="I269"/>
      <c r="J269"/>
      <c r="K269"/>
      <c r="P269"/>
      <c r="Q269"/>
      <c r="R269"/>
      <c r="S269"/>
    </row>
    <row r="270" spans="1:19">
      <c r="A270"/>
      <c r="B270"/>
      <c r="I270"/>
      <c r="J270"/>
      <c r="K270"/>
      <c r="P270"/>
      <c r="Q270"/>
      <c r="R270"/>
      <c r="S270"/>
    </row>
    <row r="271" spans="1:19">
      <c r="A271"/>
      <c r="B271"/>
      <c r="I271"/>
      <c r="J271"/>
      <c r="K271"/>
      <c r="P271"/>
      <c r="Q271"/>
      <c r="R271"/>
      <c r="S271"/>
    </row>
    <row r="272" spans="1:19">
      <c r="A272"/>
      <c r="B272"/>
      <c r="I272"/>
      <c r="J272"/>
      <c r="K272"/>
      <c r="P272"/>
      <c r="Q272"/>
      <c r="R272"/>
      <c r="S272"/>
    </row>
    <row r="273" spans="1:19">
      <c r="A273"/>
      <c r="B273"/>
      <c r="I273"/>
      <c r="J273"/>
      <c r="K273"/>
      <c r="P273"/>
      <c r="Q273"/>
      <c r="R273"/>
      <c r="S273"/>
    </row>
    <row r="274" spans="1:19">
      <c r="A274"/>
      <c r="B274"/>
      <c r="I274"/>
      <c r="P274"/>
      <c r="Q274"/>
      <c r="R274"/>
      <c r="S274"/>
    </row>
    <row r="275" spans="1:19">
      <c r="A275"/>
      <c r="B275"/>
      <c r="P275"/>
      <c r="Q275"/>
      <c r="R275"/>
      <c r="S275"/>
    </row>
    <row r="276" spans="1:19">
      <c r="A276"/>
      <c r="B276"/>
      <c r="P276"/>
      <c r="Q276"/>
      <c r="R276"/>
      <c r="S276"/>
    </row>
    <row r="277" spans="1:19">
      <c r="A277"/>
      <c r="B277"/>
      <c r="P277"/>
      <c r="Q277"/>
      <c r="R277"/>
      <c r="S277"/>
    </row>
    <row r="278" spans="1:19">
      <c r="A278"/>
      <c r="B278"/>
      <c r="P278"/>
      <c r="Q278"/>
      <c r="R278"/>
      <c r="S278"/>
    </row>
    <row r="279" spans="1:19">
      <c r="A279"/>
      <c r="B279"/>
      <c r="P279"/>
      <c r="Q279"/>
      <c r="R279"/>
      <c r="S279"/>
    </row>
    <row r="280" spans="1:19">
      <c r="A280"/>
      <c r="B280"/>
      <c r="P280"/>
      <c r="Q280"/>
      <c r="R280"/>
      <c r="S280"/>
    </row>
    <row r="281" spans="1:19">
      <c r="A281"/>
      <c r="B281"/>
      <c r="P281"/>
      <c r="Q281"/>
      <c r="R281"/>
      <c r="S281"/>
    </row>
    <row r="282" spans="1:19">
      <c r="A282"/>
      <c r="B282"/>
      <c r="P282"/>
      <c r="Q282"/>
      <c r="R282"/>
      <c r="S282"/>
    </row>
    <row r="283" spans="1:19">
      <c r="A283"/>
      <c r="B283"/>
      <c r="P283"/>
      <c r="Q283"/>
      <c r="R283"/>
      <c r="S283"/>
    </row>
    <row r="284" spans="1:19">
      <c r="A284"/>
      <c r="B284"/>
      <c r="P284"/>
      <c r="Q284"/>
      <c r="R284"/>
      <c r="S284"/>
    </row>
    <row r="285" spans="1:19">
      <c r="A285"/>
      <c r="B285"/>
      <c r="P285"/>
      <c r="Q285"/>
      <c r="R285"/>
      <c r="S285"/>
    </row>
    <row r="286" spans="1:19">
      <c r="A286"/>
      <c r="B286"/>
      <c r="P286"/>
      <c r="Q286"/>
      <c r="R286"/>
      <c r="S286"/>
    </row>
    <row r="287" spans="1:19">
      <c r="A287"/>
      <c r="B287"/>
      <c r="P287"/>
      <c r="Q287"/>
      <c r="R287"/>
      <c r="S287"/>
    </row>
    <row r="288" spans="1:19">
      <c r="A288"/>
      <c r="B288"/>
      <c r="P288"/>
      <c r="Q288"/>
      <c r="R288"/>
      <c r="S288"/>
    </row>
    <row r="289" spans="1:19">
      <c r="A289"/>
      <c r="B289"/>
      <c r="P289"/>
      <c r="Q289"/>
      <c r="R289"/>
      <c r="S289"/>
    </row>
    <row r="290" spans="1:19">
      <c r="A290"/>
      <c r="B290"/>
      <c r="P290"/>
      <c r="Q290"/>
      <c r="R290"/>
      <c r="S290"/>
    </row>
    <row r="291" spans="1:19">
      <c r="A291"/>
      <c r="B291"/>
      <c r="P291"/>
      <c r="Q291"/>
      <c r="R291"/>
      <c r="S291"/>
    </row>
    <row r="292" spans="1:19">
      <c r="A292"/>
      <c r="B292"/>
      <c r="P292"/>
      <c r="Q292"/>
      <c r="R292"/>
      <c r="S292"/>
    </row>
    <row r="293" spans="1:19">
      <c r="A293"/>
      <c r="B293"/>
      <c r="P293"/>
      <c r="Q293"/>
      <c r="R293"/>
      <c r="S293"/>
    </row>
    <row r="294" spans="1:19">
      <c r="A294"/>
      <c r="B294"/>
      <c r="P294"/>
      <c r="Q294"/>
      <c r="R294"/>
      <c r="S294"/>
    </row>
    <row r="295" spans="1:19">
      <c r="A295"/>
      <c r="B295"/>
      <c r="P295"/>
      <c r="Q295"/>
      <c r="R295"/>
      <c r="S295"/>
    </row>
    <row r="296" spans="1:19">
      <c r="A296"/>
      <c r="B296"/>
      <c r="P296"/>
      <c r="Q296"/>
      <c r="R296"/>
      <c r="S296"/>
    </row>
    <row r="297" spans="1:19">
      <c r="A297"/>
      <c r="B297"/>
      <c r="P297"/>
      <c r="Q297"/>
      <c r="R297"/>
      <c r="S297"/>
    </row>
    <row r="298" spans="1:19">
      <c r="A298"/>
      <c r="B298"/>
      <c r="P298"/>
      <c r="Q298"/>
      <c r="R298"/>
      <c r="S298"/>
    </row>
    <row r="299" spans="1:19">
      <c r="A299"/>
      <c r="B299"/>
      <c r="P299"/>
      <c r="Q299"/>
      <c r="R299"/>
      <c r="S299"/>
    </row>
    <row r="300" spans="1:19">
      <c r="A300"/>
      <c r="B300"/>
      <c r="P300"/>
      <c r="Q300"/>
      <c r="R300"/>
      <c r="S300"/>
    </row>
    <row r="301" spans="1:19">
      <c r="A301"/>
      <c r="B301"/>
      <c r="P301"/>
      <c r="Q301"/>
      <c r="R301"/>
      <c r="S301"/>
    </row>
    <row r="302" spans="1:19">
      <c r="A302"/>
      <c r="B302"/>
      <c r="P302"/>
      <c r="Q302"/>
      <c r="R302"/>
      <c r="S302"/>
    </row>
    <row r="303" spans="1:19">
      <c r="A303"/>
      <c r="B303"/>
      <c r="P303"/>
      <c r="Q303"/>
      <c r="R303"/>
      <c r="S303"/>
    </row>
    <row r="304" spans="1:19">
      <c r="A304"/>
      <c r="B304"/>
      <c r="P304"/>
      <c r="Q304"/>
      <c r="R304"/>
      <c r="S304"/>
    </row>
    <row r="305" spans="1:19">
      <c r="A305"/>
      <c r="B305"/>
      <c r="P305"/>
      <c r="Q305"/>
      <c r="R305"/>
      <c r="S305"/>
    </row>
    <row r="306" spans="1:19">
      <c r="A306"/>
      <c r="B306"/>
      <c r="P306"/>
      <c r="Q306"/>
      <c r="R306"/>
      <c r="S306"/>
    </row>
    <row r="307" spans="1:19">
      <c r="A307"/>
      <c r="B307"/>
      <c r="P307"/>
      <c r="Q307"/>
      <c r="R307"/>
      <c r="S307"/>
    </row>
    <row r="308" spans="1:19">
      <c r="A308"/>
      <c r="B308"/>
      <c r="P308"/>
      <c r="Q308"/>
      <c r="R308"/>
      <c r="S308"/>
    </row>
    <row r="309" spans="1:19">
      <c r="A309"/>
      <c r="B309"/>
      <c r="P309"/>
      <c r="Q309"/>
      <c r="R309"/>
      <c r="S309"/>
    </row>
    <row r="310" spans="1:19">
      <c r="A310"/>
      <c r="B310"/>
      <c r="P310"/>
      <c r="Q310"/>
      <c r="R310"/>
      <c r="S310"/>
    </row>
    <row r="311" spans="1:19">
      <c r="A311"/>
      <c r="B311"/>
      <c r="P311"/>
      <c r="Q311"/>
      <c r="R311"/>
      <c r="S311"/>
    </row>
    <row r="312" spans="1:19">
      <c r="A312"/>
      <c r="B312"/>
      <c r="P312"/>
      <c r="Q312"/>
      <c r="R312"/>
      <c r="S312"/>
    </row>
    <row r="313" spans="1:19">
      <c r="A313"/>
      <c r="B313"/>
      <c r="P313"/>
      <c r="Q313"/>
      <c r="R313"/>
      <c r="S313"/>
    </row>
    <row r="314" spans="1:19">
      <c r="A314"/>
      <c r="B314"/>
      <c r="P314"/>
      <c r="Q314"/>
      <c r="R314"/>
      <c r="S314"/>
    </row>
    <row r="315" spans="1:19">
      <c r="A315"/>
      <c r="B315"/>
      <c r="P315"/>
      <c r="Q315"/>
      <c r="R315"/>
      <c r="S315"/>
    </row>
    <row r="316" spans="1:19">
      <c r="A316"/>
      <c r="B316"/>
      <c r="P316"/>
      <c r="Q316"/>
      <c r="R316"/>
      <c r="S316"/>
    </row>
    <row r="317" spans="1:19">
      <c r="A317"/>
      <c r="B317"/>
      <c r="P317"/>
      <c r="Q317"/>
      <c r="R317"/>
      <c r="S317"/>
    </row>
    <row r="318" spans="1:19">
      <c r="A318"/>
      <c r="B318"/>
      <c r="P318"/>
      <c r="Q318"/>
      <c r="R318"/>
      <c r="S318"/>
    </row>
    <row r="319" spans="1:19">
      <c r="A319"/>
      <c r="B319"/>
      <c r="P319"/>
      <c r="Q319"/>
      <c r="R319"/>
      <c r="S319"/>
    </row>
    <row r="320" spans="1:19">
      <c r="A320"/>
      <c r="B320"/>
      <c r="P320"/>
      <c r="Q320"/>
      <c r="R320"/>
      <c r="S320"/>
    </row>
    <row r="321" spans="1:19">
      <c r="A321"/>
      <c r="B321"/>
      <c r="P321"/>
      <c r="Q321"/>
      <c r="R321"/>
      <c r="S321"/>
    </row>
    <row r="322" spans="1:19">
      <c r="A322"/>
      <c r="B322"/>
      <c r="P322"/>
      <c r="Q322"/>
      <c r="R322"/>
      <c r="S322"/>
    </row>
    <row r="323" spans="1:19">
      <c r="A323"/>
      <c r="B323"/>
      <c r="P323"/>
      <c r="Q323"/>
      <c r="R323"/>
      <c r="S323"/>
    </row>
    <row r="324" spans="1:19">
      <c r="A324"/>
      <c r="B324"/>
      <c r="P324"/>
      <c r="Q324"/>
      <c r="R324"/>
      <c r="S324"/>
    </row>
    <row r="325" spans="1:19">
      <c r="A325"/>
      <c r="B325"/>
      <c r="P325"/>
      <c r="Q325"/>
      <c r="R325"/>
      <c r="S325"/>
    </row>
    <row r="326" spans="1:19">
      <c r="A326"/>
      <c r="B326"/>
      <c r="P326"/>
      <c r="Q326"/>
      <c r="R326"/>
      <c r="S326"/>
    </row>
    <row r="327" spans="1:19">
      <c r="A327"/>
      <c r="B327"/>
      <c r="P327"/>
      <c r="Q327"/>
      <c r="R327"/>
      <c r="S327"/>
    </row>
    <row r="328" spans="1:19">
      <c r="A328"/>
      <c r="B328"/>
      <c r="P328"/>
      <c r="Q328"/>
      <c r="R328"/>
      <c r="S328"/>
    </row>
    <row r="329" spans="1:19">
      <c r="A329"/>
      <c r="B329"/>
      <c r="P329"/>
      <c r="Q329"/>
      <c r="R329"/>
      <c r="S329"/>
    </row>
    <row r="330" spans="1:19">
      <c r="A330"/>
      <c r="B330"/>
      <c r="P330"/>
      <c r="Q330"/>
      <c r="R330"/>
      <c r="S330"/>
    </row>
    <row r="331" spans="1:19">
      <c r="A331"/>
      <c r="B331"/>
      <c r="P331"/>
      <c r="Q331"/>
      <c r="R331"/>
      <c r="S331"/>
    </row>
    <row r="332" spans="1:19">
      <c r="A332"/>
      <c r="B332"/>
      <c r="P332"/>
      <c r="Q332"/>
      <c r="R332"/>
      <c r="S332"/>
    </row>
    <row r="333" spans="1:19">
      <c r="A333"/>
      <c r="B333"/>
      <c r="P333"/>
      <c r="Q333"/>
      <c r="R333"/>
      <c r="S333"/>
    </row>
    <row r="334" spans="1:19">
      <c r="A334"/>
      <c r="B334"/>
      <c r="P334"/>
      <c r="Q334"/>
      <c r="R334"/>
      <c r="S334"/>
    </row>
    <row r="335" spans="1:19">
      <c r="A335"/>
      <c r="B335"/>
      <c r="P335"/>
      <c r="Q335"/>
      <c r="R335"/>
      <c r="S335"/>
    </row>
    <row r="336" spans="1:19">
      <c r="A336"/>
      <c r="B336"/>
      <c r="P336"/>
      <c r="Q336"/>
      <c r="R336"/>
      <c r="S336"/>
    </row>
    <row r="337" spans="1:19">
      <c r="A337"/>
      <c r="B337"/>
      <c r="P337"/>
      <c r="Q337"/>
      <c r="R337"/>
      <c r="S337"/>
    </row>
    <row r="338" spans="1:19">
      <c r="A338"/>
      <c r="B338"/>
      <c r="P338"/>
      <c r="Q338"/>
      <c r="R338"/>
      <c r="S338"/>
    </row>
    <row r="339" spans="1:19">
      <c r="A339"/>
      <c r="B339"/>
      <c r="P339"/>
      <c r="Q339"/>
      <c r="R339"/>
      <c r="S339"/>
    </row>
    <row r="340" spans="1:19">
      <c r="A340"/>
      <c r="B340"/>
      <c r="P340"/>
      <c r="Q340"/>
      <c r="R340"/>
      <c r="S340"/>
    </row>
    <row r="341" spans="1:19">
      <c r="P341"/>
      <c r="Q341"/>
      <c r="R341"/>
      <c r="S341"/>
    </row>
    <row r="342" spans="1:19">
      <c r="P342"/>
      <c r="Q342"/>
      <c r="R342"/>
      <c r="S342"/>
    </row>
    <row r="343" spans="1:19">
      <c r="P343"/>
      <c r="Q343"/>
      <c r="R343"/>
      <c r="S343"/>
    </row>
    <row r="344" spans="1:19">
      <c r="P344"/>
      <c r="Q344"/>
      <c r="R344"/>
      <c r="S344"/>
    </row>
    <row r="345" spans="1:19">
      <c r="P345"/>
      <c r="Q345"/>
      <c r="R345"/>
      <c r="S345"/>
    </row>
    <row r="346" spans="1:19">
      <c r="P346"/>
      <c r="Q346"/>
      <c r="R346"/>
      <c r="S346"/>
    </row>
    <row r="347" spans="1:19">
      <c r="P347"/>
      <c r="Q347"/>
      <c r="R347"/>
      <c r="S347"/>
    </row>
    <row r="348" spans="1:19">
      <c r="P348"/>
      <c r="Q348"/>
      <c r="R348"/>
      <c r="S348"/>
    </row>
    <row r="349" spans="1:19">
      <c r="P349"/>
      <c r="Q349"/>
      <c r="R349"/>
      <c r="S349"/>
    </row>
    <row r="350" spans="1:19">
      <c r="P350"/>
      <c r="Q350"/>
      <c r="R350"/>
      <c r="S350"/>
    </row>
    <row r="351" spans="1:19">
      <c r="P351"/>
      <c r="Q351"/>
      <c r="R351"/>
      <c r="S351"/>
    </row>
    <row r="352" spans="1:19">
      <c r="P352"/>
      <c r="Q352"/>
      <c r="R352"/>
      <c r="S352"/>
    </row>
    <row r="353" spans="16:19">
      <c r="P353"/>
      <c r="Q353"/>
      <c r="R353"/>
      <c r="S353"/>
    </row>
    <row r="354" spans="16:19">
      <c r="P354"/>
      <c r="Q354"/>
      <c r="R354"/>
      <c r="S354"/>
    </row>
    <row r="355" spans="16:19">
      <c r="P355"/>
      <c r="Q355"/>
      <c r="R355"/>
      <c r="S355"/>
    </row>
    <row r="356" spans="16:19">
      <c r="P356"/>
      <c r="Q356"/>
      <c r="R356"/>
      <c r="S356"/>
    </row>
    <row r="357" spans="16:19">
      <c r="P357"/>
      <c r="Q357"/>
      <c r="R357"/>
      <c r="S357"/>
    </row>
    <row r="358" spans="16:19">
      <c r="P358"/>
      <c r="Q358"/>
      <c r="R358"/>
      <c r="S358"/>
    </row>
    <row r="359" spans="16:19">
      <c r="P359"/>
      <c r="Q359"/>
      <c r="R359"/>
      <c r="S359"/>
    </row>
    <row r="360" spans="16:19">
      <c r="P360"/>
      <c r="Q360"/>
      <c r="R360"/>
      <c r="S360"/>
    </row>
    <row r="361" spans="16:19">
      <c r="P361"/>
      <c r="Q361"/>
      <c r="R361"/>
      <c r="S361"/>
    </row>
    <row r="362" spans="16:19">
      <c r="P362"/>
      <c r="Q362"/>
      <c r="R362"/>
      <c r="S362"/>
    </row>
    <row r="363" spans="16:19">
      <c r="P363"/>
      <c r="Q363"/>
      <c r="R363"/>
      <c r="S363"/>
    </row>
    <row r="364" spans="16:19">
      <c r="P364"/>
      <c r="Q364"/>
      <c r="R364"/>
      <c r="S364"/>
    </row>
    <row r="365" spans="16:19">
      <c r="P365"/>
      <c r="Q365"/>
      <c r="R365"/>
      <c r="S365"/>
    </row>
    <row r="366" spans="16:19">
      <c r="P366"/>
      <c r="Q366"/>
      <c r="R366"/>
      <c r="S366"/>
    </row>
    <row r="367" spans="16:19">
      <c r="P367"/>
      <c r="Q367"/>
      <c r="R367"/>
      <c r="S367"/>
    </row>
    <row r="368" spans="16:19">
      <c r="P368"/>
      <c r="Q368"/>
      <c r="R368"/>
      <c r="S368"/>
    </row>
    <row r="369" spans="16:19">
      <c r="P369"/>
      <c r="Q369"/>
      <c r="R369"/>
      <c r="S369"/>
    </row>
    <row r="370" spans="16:19">
      <c r="P370"/>
      <c r="Q370"/>
      <c r="R370"/>
      <c r="S370"/>
    </row>
    <row r="371" spans="16:19">
      <c r="P371"/>
      <c r="Q371"/>
      <c r="R371"/>
      <c r="S371"/>
    </row>
    <row r="372" spans="16:19">
      <c r="P372"/>
      <c r="Q372"/>
      <c r="R372"/>
      <c r="S372"/>
    </row>
  </sheetData>
  <sheetProtection formatColumns="0" formatRows="0" insertColumns="0" insertRows="0"/>
  <mergeCells count="6">
    <mergeCell ref="I1:M1"/>
    <mergeCell ref="I2:M2"/>
    <mergeCell ref="P2:U2"/>
    <mergeCell ref="P1:U1"/>
    <mergeCell ref="A1:G1"/>
    <mergeCell ref="A2:G2"/>
  </mergeCells>
  <phoneticPr fontId="18" type="noConversion"/>
  <conditionalFormatting sqref="P4:P960">
    <cfRule type="expression" dxfId="11" priority="4">
      <formula>$T4="Out of Stock"</formula>
    </cfRule>
  </conditionalFormatting>
  <conditionalFormatting sqref="A4:A1220">
    <cfRule type="expression" dxfId="10" priority="2">
      <formula>$F4="Out of Stock"</formula>
    </cfRule>
  </conditionalFormatting>
  <conditionalFormatting sqref="I4:I94">
    <cfRule type="expression" dxfId="9" priority="1">
      <formula>$M4="Out of Stock"</formula>
    </cfRule>
  </conditionalFormatting>
  <pageMargins left="0.7" right="0.7" top="0.75" bottom="0.75" header="0.3" footer="0.3"/>
  <pageSetup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00" r:id="rId7" name="Button 12">
              <controlPr defaultSize="0" print="0" autoFill="0" autoPict="0" macro="[0]!Sheet11.AddMechatronics">
                <anchor moveWithCells="1" sizeWithCells="1">
                  <from>
                    <xdr:col>0</xdr:col>
                    <xdr:colOff>67733</xdr:colOff>
                    <xdr:row>0</xdr:row>
                    <xdr:rowOff>46567</xdr:rowOff>
                  </from>
                  <to>
                    <xdr:col>6</xdr:col>
                    <xdr:colOff>1629833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utton 13">
              <controlPr defaultSize="0" print="0" autoFill="0" autoPict="0" macro="[0]!Sheet11.AddMaterials">
                <anchor moveWithCells="1" sizeWithCells="1">
                  <from>
                    <xdr:col>8</xdr:col>
                    <xdr:colOff>76200</xdr:colOff>
                    <xdr:row>0</xdr:row>
                    <xdr:rowOff>38100</xdr:rowOff>
                  </from>
                  <to>
                    <xdr:col>13</xdr:col>
                    <xdr:colOff>1240367</xdr:colOff>
                    <xdr:row>0</xdr:row>
                    <xdr:rowOff>389467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9" name="Button 15">
              <controlPr defaultSize="0" print="0" autoFill="0" autoPict="0" macro="[0]!Sheet11.AddHardware" altText="Add hardware or Course Kit to Purchase order">
                <anchor moveWithCells="1" sizeWithCells="1">
                  <from>
                    <xdr:col>15</xdr:col>
                    <xdr:colOff>59267</xdr:colOff>
                    <xdr:row>0</xdr:row>
                    <xdr:rowOff>38100</xdr:rowOff>
                  </from>
                  <to>
                    <xdr:col>20</xdr:col>
                    <xdr:colOff>1811867</xdr:colOff>
                    <xdr:row>0</xdr:row>
                    <xdr:rowOff>389467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149B0-C4D8-42E1-A0D2-62AADA20EB45}">
  <sheetPr codeName="Sheet6">
    <pageSetUpPr fitToPage="1"/>
  </sheetPr>
  <dimension ref="C1:K46"/>
  <sheetViews>
    <sheetView tabSelected="1" workbookViewId="0">
      <selection activeCell="F25" sqref="F25"/>
    </sheetView>
  </sheetViews>
  <sheetFormatPr defaultColWidth="9.1171875" defaultRowHeight="16"/>
  <cols>
    <col min="1" max="1" width="9.1171875" style="2"/>
    <col min="2" max="2" width="0" style="2" hidden="1" customWidth="1"/>
    <col min="3" max="3" width="9.1171875" style="2" hidden="1" customWidth="1"/>
    <col min="4" max="4" width="48.17578125" style="2" bestFit="1" customWidth="1"/>
    <col min="5" max="5" width="30.41015625" style="2" customWidth="1"/>
    <col min="6" max="6" width="14" style="2" customWidth="1"/>
    <col min="7" max="7" width="10.87890625" style="2" customWidth="1"/>
    <col min="8" max="8" width="13" style="14" customWidth="1"/>
    <col min="9" max="9" width="25.5859375" style="2" customWidth="1"/>
    <col min="10" max="10" width="23.703125" style="2" customWidth="1"/>
    <col min="11" max="11" width="15.87890625" style="2" customWidth="1"/>
    <col min="12" max="16384" width="9.1171875" style="2"/>
  </cols>
  <sheetData>
    <row r="1" spans="4:11" ht="16.5" customHeight="1">
      <c r="D1" s="25" t="s">
        <v>74</v>
      </c>
      <c r="E1" s="26"/>
      <c r="F1" s="26"/>
      <c r="G1" s="26"/>
      <c r="H1" s="26"/>
      <c r="I1" s="26"/>
      <c r="J1" s="26"/>
      <c r="K1" s="27"/>
    </row>
    <row r="2" spans="4:11" ht="39" customHeight="1" thickBot="1">
      <c r="D2" s="28"/>
      <c r="E2" s="29"/>
      <c r="F2" s="29"/>
      <c r="G2" s="29"/>
      <c r="H2" s="29"/>
      <c r="I2" s="29"/>
      <c r="J2" s="29"/>
      <c r="K2" s="30"/>
    </row>
    <row r="3" spans="4:11" ht="16.350000000000001" thickBot="1"/>
    <row r="4" spans="4:11" ht="16.350000000000001" thickBot="1">
      <c r="D4" s="5" t="s">
        <v>75</v>
      </c>
      <c r="E4" s="6">
        <v>1005469217</v>
      </c>
      <c r="G4" s="32" t="s">
        <v>76</v>
      </c>
      <c r="H4" s="33"/>
      <c r="I4" s="7">
        <f>SUBTOTAL(9,PurchaseOrder[Subtotal])</f>
        <v>49.396000000000008</v>
      </c>
    </row>
    <row r="6" spans="4:11" ht="30.75" customHeight="1">
      <c r="D6" s="4" t="s">
        <v>77</v>
      </c>
      <c r="E6" s="4" t="s">
        <v>78</v>
      </c>
      <c r="F6" s="4" t="s">
        <v>79</v>
      </c>
      <c r="G6" s="4" t="s">
        <v>80</v>
      </c>
      <c r="H6" s="15" t="s">
        <v>19</v>
      </c>
      <c r="I6" s="4" t="s">
        <v>87</v>
      </c>
      <c r="J6" s="4" t="s">
        <v>81</v>
      </c>
      <c r="K6" s="4" t="s">
        <v>82</v>
      </c>
    </row>
    <row r="7" spans="4:11" hidden="1">
      <c r="D7" s="11"/>
      <c r="E7" s="4"/>
      <c r="F7" s="4"/>
      <c r="G7" s="4"/>
      <c r="H7" s="15"/>
      <c r="I7" s="4"/>
      <c r="J7" s="4"/>
      <c r="K7" s="4">
        <f>PurchaseOrder[[#This Row],[Unit $]]*PurchaseOrder[[#This Row],[Quantity]]</f>
        <v>0</v>
      </c>
    </row>
    <row r="8" spans="4:11">
      <c r="D8" s="11" t="s">
        <v>13</v>
      </c>
      <c r="E8" s="4" t="s">
        <v>14</v>
      </c>
      <c r="F8" s="4">
        <v>5</v>
      </c>
      <c r="G8" s="4">
        <v>0.33</v>
      </c>
      <c r="H8" s="15" t="s">
        <v>17</v>
      </c>
      <c r="I8" s="4" t="s">
        <v>98</v>
      </c>
      <c r="J8" s="4" t="s">
        <v>16</v>
      </c>
      <c r="K8" s="4">
        <f>PurchaseOrder[[#This Row],[Unit $]]*PurchaseOrder[[#This Row],[Quantity]]</f>
        <v>1.6500000000000001</v>
      </c>
    </row>
    <row r="9" spans="4:11">
      <c r="D9" s="11" t="s">
        <v>20</v>
      </c>
      <c r="E9" s="4" t="s">
        <v>14</v>
      </c>
      <c r="F9" s="4">
        <v>4</v>
      </c>
      <c r="G9" s="4">
        <v>0.33</v>
      </c>
      <c r="H9" s="15" t="s">
        <v>17</v>
      </c>
      <c r="I9" s="4" t="s">
        <v>99</v>
      </c>
      <c r="J9" s="4" t="s">
        <v>16</v>
      </c>
      <c r="K9" s="4">
        <f>PurchaseOrder[[#This Row],[Unit $]]*PurchaseOrder[[#This Row],[Quantity]]</f>
        <v>1.32</v>
      </c>
    </row>
    <row r="10" spans="4:11">
      <c r="D10" s="11" t="s">
        <v>22</v>
      </c>
      <c r="E10" s="4" t="s">
        <v>14</v>
      </c>
      <c r="F10" s="4">
        <v>5</v>
      </c>
      <c r="G10" s="4">
        <v>0.33</v>
      </c>
      <c r="H10" s="15" t="s">
        <v>17</v>
      </c>
      <c r="I10" s="4" t="s">
        <v>100</v>
      </c>
      <c r="J10" s="4" t="s">
        <v>16</v>
      </c>
      <c r="K10" s="4">
        <f>PurchaseOrder[[#This Row],[Unit $]]*PurchaseOrder[[#This Row],[Quantity]]</f>
        <v>1.6500000000000001</v>
      </c>
    </row>
    <row r="11" spans="4:11">
      <c r="D11" s="11" t="s">
        <v>24</v>
      </c>
      <c r="E11" s="4" t="s">
        <v>14</v>
      </c>
      <c r="F11" s="4">
        <v>4</v>
      </c>
      <c r="G11" s="4">
        <v>0.33</v>
      </c>
      <c r="H11" s="15" t="s">
        <v>17</v>
      </c>
      <c r="I11" s="4" t="s">
        <v>101</v>
      </c>
      <c r="J11" s="4" t="s">
        <v>16</v>
      </c>
      <c r="K11" s="4">
        <f>PurchaseOrder[[#This Row],[Unit $]]*PurchaseOrder[[#This Row],[Quantity]]</f>
        <v>1.32</v>
      </c>
    </row>
    <row r="12" spans="4:11">
      <c r="D12" s="11" t="s">
        <v>25</v>
      </c>
      <c r="E12" s="4" t="s">
        <v>14</v>
      </c>
      <c r="F12" s="4">
        <v>3</v>
      </c>
      <c r="G12" s="4">
        <v>0.33</v>
      </c>
      <c r="H12" s="15" t="s">
        <v>17</v>
      </c>
      <c r="I12" s="4" t="s">
        <v>102</v>
      </c>
      <c r="J12" s="4" t="s">
        <v>16</v>
      </c>
      <c r="K12" s="4">
        <f>PurchaseOrder[[#This Row],[Unit $]]*PurchaseOrder[[#This Row],[Quantity]]</f>
        <v>0.99</v>
      </c>
    </row>
    <row r="13" spans="4:11">
      <c r="D13" s="11" t="s">
        <v>27</v>
      </c>
      <c r="E13" s="4" t="s">
        <v>14</v>
      </c>
      <c r="F13" s="4">
        <v>3</v>
      </c>
      <c r="G13" s="4">
        <v>0.33</v>
      </c>
      <c r="H13" s="15" t="s">
        <v>17</v>
      </c>
      <c r="I13" s="4" t="s">
        <v>103</v>
      </c>
      <c r="J13" s="4" t="s">
        <v>16</v>
      </c>
      <c r="K13" s="4">
        <f>PurchaseOrder[[#This Row],[Unit $]]*PurchaseOrder[[#This Row],[Quantity]]</f>
        <v>0.99</v>
      </c>
    </row>
    <row r="14" spans="4:11">
      <c r="D14" s="11" t="s">
        <v>28</v>
      </c>
      <c r="E14" s="4" t="s">
        <v>14</v>
      </c>
      <c r="F14" s="4">
        <v>2</v>
      </c>
      <c r="G14" s="4">
        <v>1.18</v>
      </c>
      <c r="H14" s="15" t="s">
        <v>17</v>
      </c>
      <c r="I14" s="4" t="s">
        <v>104</v>
      </c>
      <c r="J14" s="4" t="s">
        <v>7</v>
      </c>
      <c r="K14" s="4">
        <f>PurchaseOrder[[#This Row],[Unit $]]*PurchaseOrder[[#This Row],[Quantity]]</f>
        <v>2.36</v>
      </c>
    </row>
    <row r="15" spans="4:11">
      <c r="D15" s="11" t="s">
        <v>35</v>
      </c>
      <c r="E15" s="4" t="s">
        <v>14</v>
      </c>
      <c r="F15" s="4">
        <v>2</v>
      </c>
      <c r="G15" s="4">
        <v>7.0000000000000007E-2</v>
      </c>
      <c r="H15" s="15" t="s">
        <v>17</v>
      </c>
      <c r="I15" s="4" t="s">
        <v>106</v>
      </c>
      <c r="J15" s="4" t="s">
        <v>16</v>
      </c>
      <c r="K15" s="4">
        <f>PurchaseOrder[[#This Row],[Unit $]]*PurchaseOrder[[#This Row],[Quantity]]</f>
        <v>0.14000000000000001</v>
      </c>
    </row>
    <row r="16" spans="4:11">
      <c r="D16" s="11" t="s">
        <v>36</v>
      </c>
      <c r="E16" s="4" t="s">
        <v>14</v>
      </c>
      <c r="F16" s="4">
        <v>3</v>
      </c>
      <c r="G16" s="4">
        <v>7.0000000000000007E-2</v>
      </c>
      <c r="H16" s="15" t="s">
        <v>17</v>
      </c>
      <c r="I16" s="4" t="s">
        <v>107</v>
      </c>
      <c r="J16" s="4" t="s">
        <v>16</v>
      </c>
      <c r="K16" s="4">
        <f>PurchaseOrder[[#This Row],[Unit $]]*PurchaseOrder[[#This Row],[Quantity]]</f>
        <v>0.21000000000000002</v>
      </c>
    </row>
    <row r="17" spans="4:11">
      <c r="D17" s="11" t="s">
        <v>37</v>
      </c>
      <c r="E17" s="4" t="s">
        <v>14</v>
      </c>
      <c r="F17" s="4">
        <v>5</v>
      </c>
      <c r="G17" s="4">
        <v>7.0000000000000007E-2</v>
      </c>
      <c r="H17" s="15" t="s">
        <v>17</v>
      </c>
      <c r="I17" s="4" t="s">
        <v>108</v>
      </c>
      <c r="J17" s="4" t="s">
        <v>16</v>
      </c>
      <c r="K17" s="4">
        <f>PurchaseOrder[[#This Row],[Unit $]]*PurchaseOrder[[#This Row],[Quantity]]</f>
        <v>0.35000000000000003</v>
      </c>
    </row>
    <row r="18" spans="4:11">
      <c r="D18" s="11" t="s">
        <v>38</v>
      </c>
      <c r="E18" s="4" t="s">
        <v>14</v>
      </c>
      <c r="F18" s="4">
        <v>1</v>
      </c>
      <c r="G18" s="4">
        <v>0.2</v>
      </c>
      <c r="H18" s="15" t="s">
        <v>17</v>
      </c>
      <c r="I18" s="4" t="s">
        <v>109</v>
      </c>
      <c r="J18" s="4" t="s">
        <v>16</v>
      </c>
      <c r="K18" s="4">
        <f>PurchaseOrder[[#This Row],[Unit $]]*PurchaseOrder[[#This Row],[Quantity]]</f>
        <v>0.2</v>
      </c>
    </row>
    <row r="19" spans="4:11">
      <c r="D19" s="11" t="s">
        <v>39</v>
      </c>
      <c r="E19" s="4" t="s">
        <v>14</v>
      </c>
      <c r="F19" s="4">
        <v>1</v>
      </c>
      <c r="G19" s="4">
        <v>0.42</v>
      </c>
      <c r="H19" s="15" t="s">
        <v>17</v>
      </c>
      <c r="I19" s="4" t="s">
        <v>110</v>
      </c>
      <c r="J19" s="4" t="s">
        <v>16</v>
      </c>
      <c r="K19" s="4">
        <f>PurchaseOrder[[#This Row],[Unit $]]*PurchaseOrder[[#This Row],[Quantity]]</f>
        <v>0.42</v>
      </c>
    </row>
    <row r="20" spans="4:11">
      <c r="D20" s="11" t="s">
        <v>40</v>
      </c>
      <c r="E20" s="4" t="s">
        <v>14</v>
      </c>
      <c r="F20" s="4">
        <v>10</v>
      </c>
      <c r="G20" s="4">
        <v>0.44</v>
      </c>
      <c r="H20" s="15" t="s">
        <v>17</v>
      </c>
      <c r="I20" s="4" t="s">
        <v>111</v>
      </c>
      <c r="J20" s="4" t="s">
        <v>16</v>
      </c>
      <c r="K20" s="4">
        <f>PurchaseOrder[[#This Row],[Unit $]]*PurchaseOrder[[#This Row],[Quantity]]</f>
        <v>4.4000000000000004</v>
      </c>
    </row>
    <row r="21" spans="4:11">
      <c r="D21" s="11" t="s">
        <v>41</v>
      </c>
      <c r="E21" s="4" t="s">
        <v>42</v>
      </c>
      <c r="F21" s="4">
        <v>36</v>
      </c>
      <c r="G21" s="4">
        <v>6.6000000000000003E-2</v>
      </c>
      <c r="H21" s="15" t="s">
        <v>17</v>
      </c>
      <c r="I21" s="4" t="s">
        <v>112</v>
      </c>
      <c r="J21" s="4" t="s">
        <v>7</v>
      </c>
      <c r="K21" s="4">
        <f>PurchaseOrder[[#This Row],[Unit $]]*PurchaseOrder[[#This Row],[Quantity]]</f>
        <v>2.3760000000000003</v>
      </c>
    </row>
    <row r="22" spans="4:11">
      <c r="D22" s="11" t="s">
        <v>44</v>
      </c>
      <c r="E22" s="4" t="s">
        <v>42</v>
      </c>
      <c r="F22" s="4">
        <v>8</v>
      </c>
      <c r="G22" s="4">
        <v>0.2</v>
      </c>
      <c r="H22" s="15" t="s">
        <v>17</v>
      </c>
      <c r="I22" s="4" t="s">
        <v>114</v>
      </c>
      <c r="J22" s="4" t="s">
        <v>7</v>
      </c>
      <c r="K22" s="4">
        <f>PurchaseOrder[[#This Row],[Unit $]]*PurchaseOrder[[#This Row],[Quantity]]</f>
        <v>1.6</v>
      </c>
    </row>
    <row r="23" spans="4:11">
      <c r="D23" s="11" t="s">
        <v>46</v>
      </c>
      <c r="E23" s="4" t="s">
        <v>34</v>
      </c>
      <c r="F23" s="4">
        <v>1</v>
      </c>
      <c r="G23" s="4">
        <v>0.35</v>
      </c>
      <c r="H23" s="15" t="s">
        <v>17</v>
      </c>
      <c r="I23" s="4" t="s">
        <v>115</v>
      </c>
      <c r="J23" s="4" t="s">
        <v>16</v>
      </c>
      <c r="K23" s="4">
        <f>PurchaseOrder[[#This Row],[Unit $]]*PurchaseOrder[[#This Row],[Quantity]]</f>
        <v>0.35</v>
      </c>
    </row>
    <row r="24" spans="4:11">
      <c r="D24" s="11" t="s">
        <v>51</v>
      </c>
      <c r="E24" s="4" t="s">
        <v>14</v>
      </c>
      <c r="F24" s="4">
        <v>1</v>
      </c>
      <c r="G24" s="4">
        <v>1.18</v>
      </c>
      <c r="H24" s="15" t="s">
        <v>32</v>
      </c>
      <c r="I24" s="4" t="s">
        <v>116</v>
      </c>
      <c r="J24" s="4" t="s">
        <v>16</v>
      </c>
      <c r="K24" s="4">
        <f>PurchaseOrder[[#This Row],[Unit $]]*PurchaseOrder[[#This Row],[Quantity]]</f>
        <v>1.18</v>
      </c>
    </row>
    <row r="25" spans="4:11">
      <c r="D25" s="11" t="s">
        <v>57</v>
      </c>
      <c r="E25" s="4" t="s">
        <v>14</v>
      </c>
      <c r="F25" s="4">
        <v>1</v>
      </c>
      <c r="G25" s="4">
        <v>1.21</v>
      </c>
      <c r="H25" s="15" t="s">
        <v>17</v>
      </c>
      <c r="I25" s="4" t="s">
        <v>117</v>
      </c>
      <c r="J25" s="4" t="s">
        <v>16</v>
      </c>
      <c r="K25" s="4">
        <f>PurchaseOrder[[#This Row],[Unit $]]*PurchaseOrder[[#This Row],[Quantity]]</f>
        <v>1.21</v>
      </c>
    </row>
    <row r="26" spans="4:11">
      <c r="D26" s="11" t="s">
        <v>66</v>
      </c>
      <c r="E26" s="4" t="s">
        <v>14</v>
      </c>
      <c r="F26" s="4">
        <v>1</v>
      </c>
      <c r="G26" s="4">
        <v>2.72</v>
      </c>
      <c r="H26" s="15" t="s">
        <v>17</v>
      </c>
      <c r="I26" s="4" t="s">
        <v>118</v>
      </c>
      <c r="J26" s="4" t="s">
        <v>16</v>
      </c>
      <c r="K26" s="4">
        <f>PurchaseOrder[[#This Row],[Unit $]]*PurchaseOrder[[#This Row],[Quantity]]</f>
        <v>2.72</v>
      </c>
    </row>
    <row r="27" spans="4:11">
      <c r="D27" s="11" t="s">
        <v>68</v>
      </c>
      <c r="E27" s="4" t="s">
        <v>14</v>
      </c>
      <c r="F27" s="4">
        <v>1</v>
      </c>
      <c r="G27" s="4">
        <v>4.6100000000000003</v>
      </c>
      <c r="H27" s="15" t="s">
        <v>17</v>
      </c>
      <c r="I27" s="4" t="s">
        <v>119</v>
      </c>
      <c r="J27" s="4" t="s">
        <v>16</v>
      </c>
      <c r="K27" s="4">
        <f>PurchaseOrder[[#This Row],[Unit $]]*PurchaseOrder[[#This Row],[Quantity]]</f>
        <v>4.6100000000000003</v>
      </c>
    </row>
    <row r="28" spans="4:11">
      <c r="D28" s="11" t="s">
        <v>70</v>
      </c>
      <c r="E28" s="4" t="s">
        <v>14</v>
      </c>
      <c r="F28" s="4">
        <v>1</v>
      </c>
      <c r="G28" s="4">
        <v>0.46600000000000003</v>
      </c>
      <c r="H28" s="15" t="s">
        <v>17</v>
      </c>
      <c r="I28" s="4" t="s">
        <v>120</v>
      </c>
      <c r="J28" s="4" t="s">
        <v>7</v>
      </c>
      <c r="K28" s="4">
        <f>PurchaseOrder[[#This Row],[Unit $]]*PurchaseOrder[[#This Row],[Quantity]]</f>
        <v>0.46600000000000003</v>
      </c>
    </row>
    <row r="29" spans="4:11">
      <c r="D29" s="11" t="s">
        <v>72</v>
      </c>
      <c r="E29" s="4" t="s">
        <v>34</v>
      </c>
      <c r="F29" s="4">
        <v>2</v>
      </c>
      <c r="G29" s="4">
        <v>0.01</v>
      </c>
      <c r="H29" s="15" t="s">
        <v>17</v>
      </c>
      <c r="I29" s="4" t="s">
        <v>121</v>
      </c>
      <c r="J29" s="4" t="s">
        <v>16</v>
      </c>
      <c r="K29" s="4">
        <f>PurchaseOrder[[#This Row],[Unit $]]*PurchaseOrder[[#This Row],[Quantity]]</f>
        <v>0.02</v>
      </c>
    </row>
    <row r="30" spans="4:11">
      <c r="D30" s="11" t="s">
        <v>73</v>
      </c>
      <c r="E30" s="4" t="s">
        <v>34</v>
      </c>
      <c r="F30" s="4">
        <v>2</v>
      </c>
      <c r="G30" s="4">
        <v>0.01</v>
      </c>
      <c r="H30" s="15" t="s">
        <v>17</v>
      </c>
      <c r="I30" s="4" t="s">
        <v>122</v>
      </c>
      <c r="J30" s="4" t="s">
        <v>16</v>
      </c>
      <c r="K30" s="4">
        <f>PurchaseOrder[[#This Row],[Unit $]]*PurchaseOrder[[#This Row],[Quantity]]</f>
        <v>0.02</v>
      </c>
    </row>
    <row r="31" spans="4:11">
      <c r="D31" s="11" t="s">
        <v>124</v>
      </c>
      <c r="E31" s="4" t="s">
        <v>42</v>
      </c>
      <c r="F31" s="4">
        <v>21</v>
      </c>
      <c r="G31" s="4">
        <v>6.4000000000000001E-2</v>
      </c>
      <c r="H31" s="15" t="s">
        <v>17</v>
      </c>
      <c r="I31" s="4" t="s">
        <v>113</v>
      </c>
      <c r="J31" s="4" t="s">
        <v>7</v>
      </c>
      <c r="K31" s="4">
        <f>PurchaseOrder[[#This Row],[Unit $]]*PurchaseOrder[[#This Row],[Quantity]]</f>
        <v>1.3440000000000001</v>
      </c>
    </row>
    <row r="32" spans="4:11">
      <c r="D32" s="11" t="s">
        <v>128</v>
      </c>
      <c r="E32" s="4" t="s">
        <v>127</v>
      </c>
      <c r="F32" s="4">
        <v>1</v>
      </c>
      <c r="G32" s="4">
        <v>0</v>
      </c>
      <c r="H32" s="15" t="s">
        <v>17</v>
      </c>
      <c r="I32" s="4" t="s">
        <v>129</v>
      </c>
      <c r="J32" s="4" t="s">
        <v>16</v>
      </c>
      <c r="K32" s="4">
        <f>PurchaseOrder[[#This Row],[Unit $]]*PurchaseOrder[[#This Row],[Quantity]]</f>
        <v>0</v>
      </c>
    </row>
    <row r="33" spans="4:11">
      <c r="D33" s="11" t="s">
        <v>130</v>
      </c>
      <c r="E33" s="4" t="s">
        <v>127</v>
      </c>
      <c r="F33" s="4">
        <v>1</v>
      </c>
      <c r="G33" s="4">
        <v>0</v>
      </c>
      <c r="H33" s="15" t="s">
        <v>17</v>
      </c>
      <c r="I33" s="4" t="s">
        <v>131</v>
      </c>
      <c r="J33" s="4" t="s">
        <v>16</v>
      </c>
      <c r="K33" s="4">
        <f>PurchaseOrder[[#This Row],[Unit $]]*PurchaseOrder[[#This Row],[Quantity]]</f>
        <v>0</v>
      </c>
    </row>
    <row r="34" spans="4:11">
      <c r="D34" s="11" t="s">
        <v>48</v>
      </c>
      <c r="E34" s="4" t="s">
        <v>33</v>
      </c>
      <c r="F34" s="4">
        <v>10</v>
      </c>
      <c r="G34" s="4">
        <v>0.08</v>
      </c>
      <c r="H34" s="15" t="s">
        <v>17</v>
      </c>
      <c r="I34" s="4" t="s">
        <v>89</v>
      </c>
      <c r="J34" s="4"/>
      <c r="K34" s="4">
        <f>PurchaseOrder[[#This Row],[Unit $]]*PurchaseOrder[[#This Row],[Quantity]]</f>
        <v>0.8</v>
      </c>
    </row>
    <row r="35" spans="4:11">
      <c r="D35" s="11" t="s">
        <v>49</v>
      </c>
      <c r="E35" s="4" t="s">
        <v>33</v>
      </c>
      <c r="F35" s="4">
        <v>75</v>
      </c>
      <c r="G35" s="4">
        <v>0.09</v>
      </c>
      <c r="H35" s="15" t="s">
        <v>17</v>
      </c>
      <c r="I35" s="4" t="s">
        <v>90</v>
      </c>
      <c r="J35" s="4"/>
      <c r="K35" s="4">
        <f>PurchaseOrder[[#This Row],[Unit $]]*PurchaseOrder[[#This Row],[Quantity]]</f>
        <v>6.75</v>
      </c>
    </row>
    <row r="36" spans="4:11">
      <c r="D36" s="11" t="s">
        <v>55</v>
      </c>
      <c r="E36" s="4" t="s">
        <v>26</v>
      </c>
      <c r="F36" s="4">
        <v>15</v>
      </c>
      <c r="G36" s="4">
        <v>7.0000000000000007E-2</v>
      </c>
      <c r="H36" s="15" t="s">
        <v>17</v>
      </c>
      <c r="I36" s="4" t="s">
        <v>92</v>
      </c>
      <c r="J36" s="4"/>
      <c r="K36" s="4">
        <f>PurchaseOrder[[#This Row],[Unit $]]*PurchaseOrder[[#This Row],[Quantity]]</f>
        <v>1.05</v>
      </c>
    </row>
    <row r="37" spans="4:11">
      <c r="D37" s="11" t="s">
        <v>59</v>
      </c>
      <c r="E37" s="4" t="s">
        <v>26</v>
      </c>
      <c r="F37" s="4">
        <v>25</v>
      </c>
      <c r="G37" s="4">
        <v>0.12</v>
      </c>
      <c r="H37" s="15" t="s">
        <v>17</v>
      </c>
      <c r="I37" s="4" t="s">
        <v>93</v>
      </c>
      <c r="J37" s="4"/>
      <c r="K37" s="4">
        <f>PurchaseOrder[[#This Row],[Unit $]]*PurchaseOrder[[#This Row],[Quantity]]</f>
        <v>3</v>
      </c>
    </row>
    <row r="38" spans="4:11">
      <c r="D38" s="11" t="s">
        <v>61</v>
      </c>
      <c r="E38" s="4" t="s">
        <v>26</v>
      </c>
      <c r="F38" s="4">
        <v>15</v>
      </c>
      <c r="G38" s="4">
        <v>0.14000000000000001</v>
      </c>
      <c r="H38" s="15" t="s">
        <v>17</v>
      </c>
      <c r="I38" s="4" t="s">
        <v>94</v>
      </c>
      <c r="J38" s="4"/>
      <c r="K38" s="4">
        <f>PurchaseOrder[[#This Row],[Unit $]]*PurchaseOrder[[#This Row],[Quantity]]</f>
        <v>2.1</v>
      </c>
    </row>
    <row r="39" spans="4:11">
      <c r="D39" s="11" t="s">
        <v>63</v>
      </c>
      <c r="E39" s="4" t="s">
        <v>26</v>
      </c>
      <c r="F39" s="4">
        <v>40</v>
      </c>
      <c r="G39" s="4">
        <v>0.09</v>
      </c>
      <c r="H39" s="15" t="s">
        <v>32</v>
      </c>
      <c r="I39" s="4" t="s">
        <v>95</v>
      </c>
      <c r="J39" s="4"/>
      <c r="K39" s="4">
        <f>PurchaseOrder[[#This Row],[Unit $]]*PurchaseOrder[[#This Row],[Quantity]]</f>
        <v>3.5999999999999996</v>
      </c>
    </row>
    <row r="40" spans="4:11">
      <c r="D40" s="11" t="s">
        <v>65</v>
      </c>
      <c r="E40" s="4" t="s">
        <v>23</v>
      </c>
      <c r="F40" s="4">
        <v>10</v>
      </c>
      <c r="G40" s="4">
        <v>0.02</v>
      </c>
      <c r="H40" s="15" t="s">
        <v>17</v>
      </c>
      <c r="I40" s="4" t="s">
        <v>96</v>
      </c>
      <c r="J40" s="4"/>
      <c r="K40" s="4">
        <f>PurchaseOrder[[#This Row],[Unit $]]*PurchaseOrder[[#This Row],[Quantity]]</f>
        <v>0.2</v>
      </c>
    </row>
    <row r="42" spans="4:11" ht="18.350000000000001">
      <c r="D42" s="3" t="s">
        <v>83</v>
      </c>
    </row>
    <row r="43" spans="4:11">
      <c r="D43" s="31" t="s">
        <v>84</v>
      </c>
      <c r="E43" s="31"/>
    </row>
    <row r="44" spans="4:11">
      <c r="D44" s="31"/>
      <c r="E44" s="31"/>
    </row>
    <row r="45" spans="4:11">
      <c r="D45" s="31" t="s">
        <v>85</v>
      </c>
      <c r="E45" s="31"/>
    </row>
    <row r="46" spans="4:11">
      <c r="D46" s="31" t="s">
        <v>86</v>
      </c>
      <c r="E46" s="31"/>
    </row>
  </sheetData>
  <mergeCells count="6">
    <mergeCell ref="D1:K2"/>
    <mergeCell ref="D43:E43"/>
    <mergeCell ref="D44:E44"/>
    <mergeCell ref="D45:E45"/>
    <mergeCell ref="D46:E46"/>
    <mergeCell ref="G4:H4"/>
  </mergeCells>
  <phoneticPr fontId="18" type="noConversion"/>
  <conditionalFormatting sqref="D41:I85">
    <cfRule type="expression" dxfId="8" priority="3">
      <formula>OR($E41="Wooden screws", $E41="Machine screws", $E41="Hex bolts", $E41="Misc", $E41="Bearing balls", $E41="Nuts",  $E41="Rivets",  $E41="Washers")</formula>
    </cfRule>
    <cfRule type="expression" dxfId="7" priority="6">
      <formula>OR($E41="Sensor", $E41="MCU", $E41="Communication", $E41="Component", $E41="Motor", $E41="Power", $E41="Hardware", $E41="Connect")</formula>
    </cfRule>
  </conditionalFormatting>
  <conditionalFormatting sqref="F7:F40">
    <cfRule type="expression" dxfId="6" priority="2">
      <formula>$F7&lt;1</formula>
    </cfRule>
  </conditionalFormatting>
  <conditionalFormatting sqref="D41:D221">
    <cfRule type="expression" dxfId="5" priority="1">
      <formula>$H42="Out of Stock"</formula>
    </cfRule>
  </conditionalFormatting>
  <conditionalFormatting sqref="D7:K40">
    <cfRule type="expression" dxfId="4" priority="8">
      <formula>$H7="Out of Stock"</formula>
    </cfRule>
  </conditionalFormatting>
  <conditionalFormatting sqref="D36:D40">
    <cfRule type="expression" dxfId="3" priority="14">
      <formula>$H170="Out of Stock"</formula>
    </cfRule>
  </conditionalFormatting>
  <conditionalFormatting sqref="D7:D14">
    <cfRule type="expression" dxfId="2" priority="19">
      <formula>$H138="Out of Stock"</formula>
    </cfRule>
  </conditionalFormatting>
  <conditionalFormatting sqref="D34:D35">
    <cfRule type="expression" dxfId="1" priority="24">
      <formula>$H167="Out of Stock"</formula>
    </cfRule>
  </conditionalFormatting>
  <conditionalFormatting sqref="D15:D33">
    <cfRule type="expression" dxfId="0" priority="29">
      <formula>$H147="Out of Stock"</formula>
    </cfRule>
  </conditionalFormatting>
  <pageMargins left="0.7" right="0.7" top="0.75" bottom="0.75" header="0.3" footer="0.3"/>
  <pageSetup scale="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3" r:id="rId4" name="Button 3">
              <controlPr defaultSize="0" print="0" autoFill="0" autoPict="0" macro="[0]!Sheet6.VBA_Delete_Multiple_Rows_from_Table">
                <anchor moveWithCells="1" sizeWithCells="1">
                  <from>
                    <xdr:col>3</xdr:col>
                    <xdr:colOff>237067</xdr:colOff>
                    <xdr:row>0</xdr:row>
                    <xdr:rowOff>190500</xdr:rowOff>
                  </from>
                  <to>
                    <xdr:col>3</xdr:col>
                    <xdr:colOff>1782233</xdr:colOff>
                    <xdr:row>1</xdr:row>
                    <xdr:rowOff>287867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5" name="Button 4">
              <controlPr defaultSize="0" print="0" autoFill="0" autoPict="0" macro="[0]!Sheet6.SaveAsJPG">
                <anchor moveWithCells="1" sizeWithCells="1">
                  <from>
                    <xdr:col>8</xdr:col>
                    <xdr:colOff>884767</xdr:colOff>
                    <xdr:row>0</xdr:row>
                    <xdr:rowOff>198967</xdr:rowOff>
                  </from>
                  <to>
                    <xdr:col>10</xdr:col>
                    <xdr:colOff>732367</xdr:colOff>
                    <xdr:row>1</xdr:row>
                    <xdr:rowOff>296333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F3CB9-12A7-48BA-90E8-44589767D19B}">
  <sheetPr codeName="Sheet1"/>
  <dimension ref="A1"/>
  <sheetViews>
    <sheetView workbookViewId="0">
      <selection activeCell="E4" sqref="E4"/>
    </sheetView>
  </sheetViews>
  <sheetFormatPr defaultRowHeight="14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9" r:id="rId3" name="CommandButton5">
          <controlPr defaultSize="0" disabled="1" autoLine="0" r:id="rId4">
            <anchor moveWithCells="1">
              <from>
                <xdr:col>4</xdr:col>
                <xdr:colOff>198967</xdr:colOff>
                <xdr:row>1</xdr:row>
                <xdr:rowOff>67733</xdr:rowOff>
              </from>
              <to>
                <xdr:col>10</xdr:col>
                <xdr:colOff>215900</xdr:colOff>
                <xdr:row>3</xdr:row>
                <xdr:rowOff>63500</xdr:rowOff>
              </to>
            </anchor>
          </controlPr>
        </control>
      </mc:Choice>
      <mc:Fallback>
        <control shapeId="21509" r:id="rId3" name="CommandButton5"/>
      </mc:Fallback>
    </mc:AlternateContent>
    <mc:AlternateContent xmlns:mc="http://schemas.openxmlformats.org/markup-compatibility/2006">
      <mc:Choice Requires="x14">
        <control shapeId="21508" r:id="rId5" name="CommandButton4">
          <controlPr defaultSize="0" disabled="1" autoLine="0" r:id="rId6">
            <anchor moveWithCells="1">
              <from>
                <xdr:col>2</xdr:col>
                <xdr:colOff>97367</xdr:colOff>
                <xdr:row>4</xdr:row>
                <xdr:rowOff>135467</xdr:rowOff>
              </from>
              <to>
                <xdr:col>15</xdr:col>
                <xdr:colOff>351367</xdr:colOff>
                <xdr:row>6</xdr:row>
                <xdr:rowOff>131233</xdr:rowOff>
              </to>
            </anchor>
          </controlPr>
        </control>
      </mc:Choice>
      <mc:Fallback>
        <control shapeId="21508" r:id="rId5" name="CommandButton4"/>
      </mc:Fallback>
    </mc:AlternateContent>
    <mc:AlternateContent xmlns:mc="http://schemas.openxmlformats.org/markup-compatibility/2006">
      <mc:Choice Requires="x14">
        <control shapeId="21507" r:id="rId7" name="CommandButton3">
          <controlPr defaultSize="0" disabled="1" autoLine="0" r:id="rId8">
            <anchor moveWithCells="1">
              <from>
                <xdr:col>4</xdr:col>
                <xdr:colOff>571500</xdr:colOff>
                <xdr:row>7</xdr:row>
                <xdr:rowOff>84667</xdr:rowOff>
              </from>
              <to>
                <xdr:col>10</xdr:col>
                <xdr:colOff>596900</xdr:colOff>
                <xdr:row>9</xdr:row>
                <xdr:rowOff>80433</xdr:rowOff>
              </to>
            </anchor>
          </controlPr>
        </control>
      </mc:Choice>
      <mc:Fallback>
        <control shapeId="21507" r:id="rId7" name="CommandButton3"/>
      </mc:Fallback>
    </mc:AlternateContent>
    <mc:AlternateContent xmlns:mc="http://schemas.openxmlformats.org/markup-compatibility/2006">
      <mc:Choice Requires="x14">
        <control shapeId="21506" r:id="rId9" name="CommandButton2">
          <controlPr defaultSize="0" autoLine="0" r:id="rId10">
            <anchor moveWithCells="1">
              <from>
                <xdr:col>5</xdr:col>
                <xdr:colOff>601133</xdr:colOff>
                <xdr:row>16</xdr:row>
                <xdr:rowOff>173567</xdr:rowOff>
              </from>
              <to>
                <xdr:col>9</xdr:col>
                <xdr:colOff>46567</xdr:colOff>
                <xdr:row>18</xdr:row>
                <xdr:rowOff>169333</xdr:rowOff>
              </to>
            </anchor>
          </controlPr>
        </control>
      </mc:Choice>
      <mc:Fallback>
        <control shapeId="21506" r:id="rId9" name="CommandButton2"/>
      </mc:Fallback>
    </mc:AlternateContent>
    <mc:AlternateContent xmlns:mc="http://schemas.openxmlformats.org/markup-compatibility/2006">
      <mc:Choice Requires="x14">
        <control shapeId="21505" r:id="rId11" name="CommandButton1">
          <controlPr defaultSize="0" autoLine="0" r:id="rId12">
            <anchor moveWithCells="1">
              <from>
                <xdr:col>5</xdr:col>
                <xdr:colOff>342900</xdr:colOff>
                <xdr:row>11</xdr:row>
                <xdr:rowOff>8467</xdr:rowOff>
              </from>
              <to>
                <xdr:col>9</xdr:col>
                <xdr:colOff>533400</xdr:colOff>
                <xdr:row>14</xdr:row>
                <xdr:rowOff>80433</xdr:rowOff>
              </to>
            </anchor>
          </controlPr>
        </control>
      </mc:Choice>
      <mc:Fallback>
        <control shapeId="21505" r:id="rId11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16e0fd9-dfbf-44e6-a659-54b1814f7941">
      <Terms xmlns="http://schemas.microsoft.com/office/infopath/2007/PartnerControls"/>
    </lcf76f155ced4ddcb4097134ff3c332f>
    <TaxCatchAll xmlns="37632fa0-411f-4886-b19a-0e04ec7fbf4f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2C313E4FC11F04C87516EFD2161F744" ma:contentTypeVersion="15" ma:contentTypeDescription="Create a new document." ma:contentTypeScope="" ma:versionID="c07b5ce48ebe999061fdddb32d62e4a8">
  <xsd:schema xmlns:xsd="http://www.w3.org/2001/XMLSchema" xmlns:xs="http://www.w3.org/2001/XMLSchema" xmlns:p="http://schemas.microsoft.com/office/2006/metadata/properties" xmlns:ns2="416e0fd9-dfbf-44e6-a659-54b1814f7941" xmlns:ns3="37632fa0-411f-4886-b19a-0e04ec7fbf4f" targetNamespace="http://schemas.microsoft.com/office/2006/metadata/properties" ma:root="true" ma:fieldsID="94aaad069b71a8fb8319050499e59a75" ns2:_="" ns3:_="">
    <xsd:import namespace="416e0fd9-dfbf-44e6-a659-54b1814f7941"/>
    <xsd:import namespace="37632fa0-411f-4886-b19a-0e04ec7fbf4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6e0fd9-dfbf-44e6-a659-54b1814f794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fe164b29-4069-4387-b6aa-f01f2a1f474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632fa0-411f-4886-b19a-0e04ec7fbf4f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f2543d6f-c30f-4b8b-8f56-c071d5db1c93}" ma:internalName="TaxCatchAll" ma:showField="CatchAllData" ma:web="37632fa0-411f-4886-b19a-0e04ec7fbf4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Filenam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F721F70-8DB4-4567-B581-0F9C0A1B07A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B77122EE-AB7B-489D-99E7-061280585D8D}">
  <ds:schemaRefs>
    <ds:schemaRef ds:uri="http://schemas.openxmlformats.org/package/2006/metadata/core-properties"/>
    <ds:schemaRef ds:uri="http://schemas.microsoft.com/office/2006/documentManagement/types"/>
    <ds:schemaRef ds:uri="416e0fd9-dfbf-44e6-a659-54b1814f7941"/>
    <ds:schemaRef ds:uri="http://purl.org/dc/dcmitype/"/>
    <ds:schemaRef ds:uri="http://purl.org/dc/elements/1.1/"/>
    <ds:schemaRef ds:uri="http://schemas.microsoft.com/office/2006/metadata/properties"/>
    <ds:schemaRef ds:uri="37632fa0-411f-4886-b19a-0e04ec7fbf4f"/>
    <ds:schemaRef ds:uri="http://schemas.microsoft.com/office/infopath/2007/PartnerControls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507CCBCB-D7A2-4A71-868B-593EDEBCBF5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00117CF-96C3-4DDA-A643-E355CFF316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16e0fd9-dfbf-44e6-a659-54b1814f7941"/>
    <ds:schemaRef ds:uri="37632fa0-411f-4886-b19a-0e04ec7fbf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OrdersNew</vt:lpstr>
      <vt:lpstr>PurchaseOrder</vt:lpstr>
      <vt:lpstr>Dev</vt:lpstr>
      <vt:lpstr>PurchaseOrder!Print_Area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FF_Design</dc:creator>
  <cp:keywords/>
  <dc:description/>
  <cp:lastModifiedBy>Andres Cervera-Rozo</cp:lastModifiedBy>
  <cp:revision/>
  <cp:lastPrinted>2022-08-18T15:54:19Z</cp:lastPrinted>
  <dcterms:created xsi:type="dcterms:W3CDTF">2021-03-10T00:23:29Z</dcterms:created>
  <dcterms:modified xsi:type="dcterms:W3CDTF">2022-10-31T22:51:44Z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0x01010012C313E4FC11F04C87516EFD2161F744</vt:lpwstr>
  </property>
  <property fmtid="{D5CDD505-2E9C-101B-9397-08002B2CF9AE}" pid="3" name="MediaServiceImageTags">
    <vt:lpwstr/>
  </property>
</Properties>
</file>