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13_ncr:1_{F77CD7E5-5EB7-4B39-9119-76873C775EEF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PurchaseOrder!$D$1:$K$89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30" l="1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<sst xmlns="http://schemas.openxmlformats.org/spreadsheetml/2006/main" count="342" uniqueCount="132">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</sst>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6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9</xdr:col>
          <xdr:colOff>533400</xdr:colOff>
          <xdr:row>14</xdr:row>
          <xdr:rowOff>80433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46567</xdr:colOff>
          <xdr:row>18</xdr:row>
          <xdr:rowOff>169333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10</xdr:col>
          <xdr:colOff>596900</xdr:colOff>
          <xdr:row>9</xdr:row>
          <xdr:rowOff>80433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15</xdr:col>
          <xdr:colOff>351367</xdr:colOff>
          <xdr:row>6</xdr:row>
          <xdr:rowOff>131233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215900</xdr:colOff>
          <xdr:row>3</xdr:row>
          <xdr:rowOff>63500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8">
      <pivotArea type="all" dataOnly="0" outline="0" fieldPosition="0"/>
    </format>
    <format dxfId="37">
      <pivotArea field="0" type="button" dataOnly="0" labelOnly="1" outline="0" axis="axisRow" fieldPosition="0"/>
    </format>
    <format dxfId="36">
      <pivotArea field="13" type="button" dataOnly="0" labelOnly="1" outline="0" axis="axisRow" fieldPosition="1"/>
    </format>
    <format dxfId="35">
      <pivotArea field="3" type="button" dataOnly="0" labelOnly="1" outline="0" axis="axisRow" fieldPosition="2"/>
    </format>
    <format dxfId="34">
      <pivotArea field="1" type="button" dataOnly="0" labelOnly="1" outline="0" axis="axisRow" fieldPosition="3"/>
    </format>
    <format dxfId="33">
      <pivotArea dataOnly="0" labelOnly="1" outline="0" fieldPosition="0">
        <references count="1">
          <reference field="0" count="0"/>
        </references>
      </pivotArea>
    </format>
    <format dxfId="32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31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30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field="5" type="button" dataOnly="0" labelOnly="1" outline="0" axis="axisRow" fieldPosition="1"/>
    </format>
    <format dxfId="40">
      <pivotArea field="2" type="button" dataOnly="0" labelOnly="1" outline="0" axis="axisRow" fieldPosition="2"/>
    </format>
    <format dxfId="39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65">
      <pivotArea type="all" dataOnly="0" outline="0" fieldPosition="0"/>
    </format>
    <format dxfId="64">
      <pivotArea field="1" type="button" dataOnly="0" labelOnly="1" outline="0" axis="axisRow" fieldPosition="0"/>
    </format>
    <format dxfId="63">
      <pivotArea field="7" type="button" dataOnly="0" labelOnly="1" outline="0" axis="axisRow" fieldPosition="1"/>
    </format>
    <format dxfId="62">
      <pivotArea field="8" type="button" dataOnly="0" labelOnly="1" outline="0" axis="axisRow" fieldPosition="2"/>
    </format>
    <format dxfId="61">
      <pivotArea field="11" type="button" dataOnly="0" labelOnly="1" outline="0" axis="axisRow" fieldPosition="3"/>
    </format>
    <format dxfId="60">
      <pivotArea field="12" type="button" dataOnly="0" labelOnly="1" outline="0" axis="axisRow" fieldPosition="4"/>
    </format>
    <format dxfId="59">
      <pivotArea dataOnly="0" labelOnly="1" outline="0" fieldPosition="0">
        <references count="1">
          <reference field="1" count="0"/>
        </references>
      </pivotArea>
    </format>
    <format dxfId="58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7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6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55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54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53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52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51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50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9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8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7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6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45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44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28" totalsRowShown="0" headerRowDxfId="27" dataDxfId="26">
  <tableColumns count="8">
    <tableColumn id="1" xr3:uid="{E4C7CB5C-978F-4A54-87A6-D7E63A3E0F32}" name="Description" dataDxfId="25"/>
    <tableColumn id="5" xr3:uid="{C374842F-0F68-46B6-AE8D-A5D1F5A337DE}" name="Specs/Category" dataDxfId="24"/>
    <tableColumn id="2" xr3:uid="{2AA3720C-9BD1-4290-9051-62B724EA7805}" name="Quantity" dataDxfId="23"/>
    <tableColumn id="3" xr3:uid="{3CD2CFA6-0EF1-4B10-9CCB-74FB7B339888}" name="Unit $" dataDxfId="22"/>
    <tableColumn id="7" xr3:uid="{44FA0C7C-5114-4A10-B37F-0C74F9B6505A}" name="Out of Stock" dataDxfId="21"/>
    <tableColumn id="8" xr3:uid="{96BEB8F9-9A73-489C-B041-0C3365B3657D}" name="ID" dataDxfId="20"/>
    <tableColumn id="6" xr3:uid="{A8E2349F-7264-4182-A782-BE8BAA18F483}" name="Terms" dataDxfId="19"/>
    <tableColumn id="4" xr3:uid="{86AFD58A-3C5E-4B80-9BFF-56A6D7B7CC17}" name="Subtotal" dataDxfId="18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7" priority="4">
      <formula>$T4="Out of Stock"</formula>
    </cfRule>
  </conditionalFormatting>
  <conditionalFormatting sqref="A4:A1220">
    <cfRule type="expression" dxfId="16" priority="2">
      <formula>$F4="Out of Stock"</formula>
    </cfRule>
  </conditionalFormatting>
  <conditionalFormatting sqref="I4:I94">
    <cfRule type="expression" dxfId="15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34"/>
  <sheetViews>
    <sheetView tabSelected="1" topLeftCell="A2" workbookViewId="0">
      <selection activeCell="E19" sqref="E19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38.496000000000009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20</v>
      </c>
      <c r="E8" s="4" t="s">
        <v>14</v>
      </c>
      <c r="F8" s="4">
        <v>2</v>
      </c>
      <c r="G8" s="4">
        <v>0.33</v>
      </c>
      <c r="H8" s="15" t="s">
        <v>17</v>
      </c>
      <c r="I8" s="4" t="s">
        <v>99</v>
      </c>
      <c r="J8" s="4" t="s">
        <v>16</v>
      </c>
      <c r="K8" s="4">
        <f>PurchaseOrder[[#This Row],[Unit $]]*PurchaseOrder[[#This Row],[Quantity]]</f>
        <v>0.66</v>
      </c>
    </row>
    <row r="9" spans="4:11">
      <c r="D9" s="11" t="s">
        <v>24</v>
      </c>
      <c r="E9" s="4" t="s">
        <v>14</v>
      </c>
      <c r="F9" s="4">
        <v>2</v>
      </c>
      <c r="G9" s="4">
        <v>0.33</v>
      </c>
      <c r="H9" s="15" t="s">
        <v>17</v>
      </c>
      <c r="I9" s="4" t="s">
        <v>101</v>
      </c>
      <c r="J9" s="4" t="s">
        <v>16</v>
      </c>
      <c r="K9" s="4">
        <f>PurchaseOrder[[#This Row],[Unit $]]*PurchaseOrder[[#This Row],[Quantity]]</f>
        <v>0.66</v>
      </c>
    </row>
    <row r="10" spans="4:11">
      <c r="D10" s="11" t="s">
        <v>27</v>
      </c>
      <c r="E10" s="4" t="s">
        <v>14</v>
      </c>
      <c r="F10" s="4">
        <v>2</v>
      </c>
      <c r="G10" s="4">
        <v>0.33</v>
      </c>
      <c r="H10" s="15" t="s">
        <v>17</v>
      </c>
      <c r="I10" s="4" t="s">
        <v>103</v>
      </c>
      <c r="J10" s="4" t="s">
        <v>16</v>
      </c>
      <c r="K10" s="4">
        <f>PurchaseOrder[[#This Row],[Unit $]]*PurchaseOrder[[#This Row],[Quantity]]</f>
        <v>0.66</v>
      </c>
    </row>
    <row r="11" spans="4:11">
      <c r="D11" s="11" t="s">
        <v>35</v>
      </c>
      <c r="E11" s="4" t="s">
        <v>14</v>
      </c>
      <c r="F11" s="4">
        <v>2</v>
      </c>
      <c r="G11" s="4">
        <v>7.0000000000000007E-2</v>
      </c>
      <c r="H11" s="15" t="s">
        <v>17</v>
      </c>
      <c r="I11" s="4" t="s">
        <v>106</v>
      </c>
      <c r="J11" s="4" t="s">
        <v>16</v>
      </c>
      <c r="K11" s="4">
        <f>PurchaseOrder[[#This Row],[Unit $]]*PurchaseOrder[[#This Row],[Quantity]]</f>
        <v>0.14000000000000001</v>
      </c>
    </row>
    <row r="12" spans="4:11">
      <c r="D12" s="11" t="s">
        <v>36</v>
      </c>
      <c r="E12" s="4" t="s">
        <v>14</v>
      </c>
      <c r="F12" s="4">
        <v>3</v>
      </c>
      <c r="G12" s="4">
        <v>7.0000000000000007E-2</v>
      </c>
      <c r="H12" s="15" t="s">
        <v>17</v>
      </c>
      <c r="I12" s="4" t="s">
        <v>107</v>
      </c>
      <c r="J12" s="4" t="s">
        <v>16</v>
      </c>
      <c r="K12" s="4">
        <f>PurchaseOrder[[#This Row],[Unit $]]*PurchaseOrder[[#This Row],[Quantity]]</f>
        <v>0.21000000000000002</v>
      </c>
    </row>
    <row r="13" spans="4:11">
      <c r="D13" s="11" t="s">
        <v>37</v>
      </c>
      <c r="E13" s="4" t="s">
        <v>14</v>
      </c>
      <c r="F13" s="4">
        <v>5</v>
      </c>
      <c r="G13" s="4">
        <v>7.0000000000000007E-2</v>
      </c>
      <c r="H13" s="15" t="s">
        <v>17</v>
      </c>
      <c r="I13" s="4" t="s">
        <v>108</v>
      </c>
      <c r="J13" s="4" t="s">
        <v>16</v>
      </c>
      <c r="K13" s="4">
        <f>PurchaseOrder[[#This Row],[Unit $]]*PurchaseOrder[[#This Row],[Quantity]]</f>
        <v>0.35000000000000003</v>
      </c>
    </row>
    <row r="14" spans="4:11">
      <c r="D14" s="11" t="s">
        <v>38</v>
      </c>
      <c r="E14" s="4" t="s">
        <v>14</v>
      </c>
      <c r="F14" s="4">
        <v>1</v>
      </c>
      <c r="G14" s="4">
        <v>0.2</v>
      </c>
      <c r="H14" s="15" t="s">
        <v>17</v>
      </c>
      <c r="I14" s="4" t="s">
        <v>109</v>
      </c>
      <c r="J14" s="4" t="s">
        <v>16</v>
      </c>
      <c r="K14" s="4">
        <f>PurchaseOrder[[#This Row],[Unit $]]*PurchaseOrder[[#This Row],[Quantity]]</f>
        <v>0.2</v>
      </c>
    </row>
    <row r="15" spans="4:11">
      <c r="D15" s="11" t="s">
        <v>39</v>
      </c>
      <c r="E15" s="4" t="s">
        <v>14</v>
      </c>
      <c r="F15" s="4">
        <v>1</v>
      </c>
      <c r="G15" s="4">
        <v>0.42</v>
      </c>
      <c r="H15" s="15" t="s">
        <v>17</v>
      </c>
      <c r="I15" s="4" t="s">
        <v>110</v>
      </c>
      <c r="J15" s="4" t="s">
        <v>16</v>
      </c>
      <c r="K15" s="4">
        <f>PurchaseOrder[[#This Row],[Unit $]]*PurchaseOrder[[#This Row],[Quantity]]</f>
        <v>0.42</v>
      </c>
    </row>
    <row r="16" spans="4:11">
      <c r="D16" s="11" t="s">
        <v>40</v>
      </c>
      <c r="E16" s="4" t="s">
        <v>14</v>
      </c>
      <c r="F16" s="4">
        <v>10</v>
      </c>
      <c r="G16" s="4">
        <v>0.44</v>
      </c>
      <c r="H16" s="15" t="s">
        <v>17</v>
      </c>
      <c r="I16" s="4" t="s">
        <v>111</v>
      </c>
      <c r="J16" s="4" t="s">
        <v>16</v>
      </c>
      <c r="K16" s="4">
        <f>PurchaseOrder[[#This Row],[Unit $]]*PurchaseOrder[[#This Row],[Quantity]]</f>
        <v>4.4000000000000004</v>
      </c>
    </row>
    <row r="17" spans="4:11">
      <c r="D17" s="11" t="s">
        <v>41</v>
      </c>
      <c r="E17" s="4" t="s">
        <v>42</v>
      </c>
      <c r="F17" s="4">
        <v>36</v>
      </c>
      <c r="G17" s="4">
        <v>6.6000000000000003E-2</v>
      </c>
      <c r="H17" s="15" t="s">
        <v>17</v>
      </c>
      <c r="I17" s="4" t="s">
        <v>112</v>
      </c>
      <c r="J17" s="4" t="s">
        <v>7</v>
      </c>
      <c r="K17" s="4">
        <f>PurchaseOrder[[#This Row],[Unit $]]*PurchaseOrder[[#This Row],[Quantity]]</f>
        <v>2.3760000000000003</v>
      </c>
    </row>
    <row r="18" spans="4:11">
      <c r="D18" s="11" t="s">
        <v>44</v>
      </c>
      <c r="E18" s="4" t="s">
        <v>42</v>
      </c>
      <c r="F18" s="4">
        <v>8</v>
      </c>
      <c r="G18" s="4">
        <v>0.2</v>
      </c>
      <c r="H18" s="15" t="s">
        <v>17</v>
      </c>
      <c r="I18" s="4" t="s">
        <v>114</v>
      </c>
      <c r="J18" s="4" t="s">
        <v>7</v>
      </c>
      <c r="K18" s="4">
        <f>PurchaseOrder[[#This Row],[Unit $]]*PurchaseOrder[[#This Row],[Quantity]]</f>
        <v>1.6</v>
      </c>
    </row>
    <row r="19" spans="4:11">
      <c r="D19" s="11" t="s">
        <v>51</v>
      </c>
      <c r="E19" s="4" t="s">
        <v>14</v>
      </c>
      <c r="F19" s="4">
        <v>1</v>
      </c>
      <c r="G19" s="4">
        <v>1.18</v>
      </c>
      <c r="H19" s="15" t="s">
        <v>32</v>
      </c>
      <c r="I19" s="4" t="s">
        <v>116</v>
      </c>
      <c r="J19" s="4" t="s">
        <v>16</v>
      </c>
      <c r="K19" s="4">
        <f>PurchaseOrder[[#This Row],[Unit $]]*PurchaseOrder[[#This Row],[Quantity]]</f>
        <v>1.18</v>
      </c>
    </row>
    <row r="20" spans="4:11">
      <c r="D20" s="11" t="s">
        <v>66</v>
      </c>
      <c r="E20" s="4" t="s">
        <v>14</v>
      </c>
      <c r="F20" s="4">
        <v>1</v>
      </c>
      <c r="G20" s="4">
        <v>2.72</v>
      </c>
      <c r="H20" s="15" t="s">
        <v>17</v>
      </c>
      <c r="I20" s="4" t="s">
        <v>118</v>
      </c>
      <c r="J20" s="4" t="s">
        <v>16</v>
      </c>
      <c r="K20" s="4">
        <f>PurchaseOrder[[#This Row],[Unit $]]*PurchaseOrder[[#This Row],[Quantity]]</f>
        <v>2.72</v>
      </c>
    </row>
    <row r="21" spans="4:11">
      <c r="D21" s="11" t="s">
        <v>68</v>
      </c>
      <c r="E21" s="4" t="s">
        <v>14</v>
      </c>
      <c r="F21" s="4">
        <v>1</v>
      </c>
      <c r="G21" s="4">
        <v>4.6100000000000003</v>
      </c>
      <c r="H21" s="15" t="s">
        <v>17</v>
      </c>
      <c r="I21" s="4" t="s">
        <v>119</v>
      </c>
      <c r="J21" s="4" t="s">
        <v>16</v>
      </c>
      <c r="K21" s="4">
        <f>PurchaseOrder[[#This Row],[Unit $]]*PurchaseOrder[[#This Row],[Quantity]]</f>
        <v>4.6100000000000003</v>
      </c>
    </row>
    <row r="22" spans="4:11">
      <c r="D22" s="11" t="s">
        <v>70</v>
      </c>
      <c r="E22" s="4" t="s">
        <v>14</v>
      </c>
      <c r="F22" s="4">
        <v>1</v>
      </c>
      <c r="G22" s="4">
        <v>0.46600000000000003</v>
      </c>
      <c r="H22" s="15" t="s">
        <v>17</v>
      </c>
      <c r="I22" s="4" t="s">
        <v>120</v>
      </c>
      <c r="J22" s="4" t="s">
        <v>7</v>
      </c>
      <c r="K22" s="4">
        <f>PurchaseOrder[[#This Row],[Unit $]]*PurchaseOrder[[#This Row],[Quantity]]</f>
        <v>0.46600000000000003</v>
      </c>
    </row>
    <row r="23" spans="4:11">
      <c r="D23" s="11" t="s">
        <v>124</v>
      </c>
      <c r="E23" s="4" t="s">
        <v>42</v>
      </c>
      <c r="F23" s="4">
        <v>21</v>
      </c>
      <c r="G23" s="4">
        <v>6.4000000000000001E-2</v>
      </c>
      <c r="H23" s="15" t="s">
        <v>17</v>
      </c>
      <c r="I23" s="4" t="s">
        <v>113</v>
      </c>
      <c r="J23" s="4" t="s">
        <v>7</v>
      </c>
      <c r="K23" s="4">
        <f>PurchaseOrder[[#This Row],[Unit $]]*PurchaseOrder[[#This Row],[Quantity]]</f>
        <v>1.3440000000000001</v>
      </c>
    </row>
    <row r="24" spans="4:11">
      <c r="D24" s="11" t="s">
        <v>49</v>
      </c>
      <c r="E24" s="4" t="s">
        <v>33</v>
      </c>
      <c r="F24" s="4">
        <v>75</v>
      </c>
      <c r="G24" s="4">
        <v>0.09</v>
      </c>
      <c r="H24" s="15" t="s">
        <v>17</v>
      </c>
      <c r="I24" s="4" t="s">
        <v>90</v>
      </c>
      <c r="J24" s="4"/>
      <c r="K24" s="4">
        <f>PurchaseOrder[[#This Row],[Unit $]]*PurchaseOrder[[#This Row],[Quantity]]</f>
        <v>6.75</v>
      </c>
    </row>
    <row r="25" spans="4:11">
      <c r="D25" s="11" t="s">
        <v>55</v>
      </c>
      <c r="E25" s="4" t="s">
        <v>26</v>
      </c>
      <c r="F25" s="4">
        <v>15</v>
      </c>
      <c r="G25" s="4">
        <v>7.0000000000000007E-2</v>
      </c>
      <c r="H25" s="15" t="s">
        <v>17</v>
      </c>
      <c r="I25" s="4" t="s">
        <v>92</v>
      </c>
      <c r="J25" s="4"/>
      <c r="K25" s="4">
        <f>PurchaseOrder[[#This Row],[Unit $]]*PurchaseOrder[[#This Row],[Quantity]]</f>
        <v>1.05</v>
      </c>
    </row>
    <row r="26" spans="4:11">
      <c r="D26" s="11" t="s">
        <v>59</v>
      </c>
      <c r="E26" s="4" t="s">
        <v>26</v>
      </c>
      <c r="F26" s="4">
        <v>25</v>
      </c>
      <c r="G26" s="4">
        <v>0.12</v>
      </c>
      <c r="H26" s="15" t="s">
        <v>17</v>
      </c>
      <c r="I26" s="4" t="s">
        <v>93</v>
      </c>
      <c r="J26" s="4"/>
      <c r="K26" s="4">
        <f>PurchaseOrder[[#This Row],[Unit $]]*PurchaseOrder[[#This Row],[Quantity]]</f>
        <v>3</v>
      </c>
    </row>
    <row r="27" spans="4:11">
      <c r="D27" s="11" t="s">
        <v>61</v>
      </c>
      <c r="E27" s="4" t="s">
        <v>26</v>
      </c>
      <c r="F27" s="4">
        <v>15</v>
      </c>
      <c r="G27" s="4">
        <v>0.14000000000000001</v>
      </c>
      <c r="H27" s="15" t="s">
        <v>17</v>
      </c>
      <c r="I27" s="4" t="s">
        <v>94</v>
      </c>
      <c r="J27" s="4"/>
      <c r="K27" s="4">
        <f>PurchaseOrder[[#This Row],[Unit $]]*PurchaseOrder[[#This Row],[Quantity]]</f>
        <v>2.1</v>
      </c>
    </row>
    <row r="28" spans="4:11">
      <c r="D28" s="11" t="s">
        <v>63</v>
      </c>
      <c r="E28" s="4" t="s">
        <v>26</v>
      </c>
      <c r="F28" s="4">
        <v>40</v>
      </c>
      <c r="G28" s="4">
        <v>0.09</v>
      </c>
      <c r="H28" s="15" t="s">
        <v>32</v>
      </c>
      <c r="I28" s="4" t="s">
        <v>95</v>
      </c>
      <c r="J28" s="4"/>
      <c r="K28" s="4">
        <f>PurchaseOrder[[#This Row],[Unit $]]*PurchaseOrder[[#This Row],[Quantity]]</f>
        <v>3.5999999999999996</v>
      </c>
    </row>
    <row r="30" spans="4:11" ht="18.350000000000001">
      <c r="D30" s="3" t="s">
        <v>83</v>
      </c>
    </row>
    <row r="31" spans="4:11">
      <c r="D31" s="31" t="s">
        <v>84</v>
      </c>
      <c r="E31" s="31"/>
    </row>
    <row r="32" spans="4:11">
      <c r="D32" s="31"/>
      <c r="E32" s="31"/>
    </row>
    <row r="33" spans="4:5">
      <c r="D33" s="31" t="s">
        <v>85</v>
      </c>
      <c r="E33" s="31"/>
    </row>
    <row r="34" spans="4:5">
      <c r="D34" s="31" t="s">
        <v>86</v>
      </c>
      <c r="E34" s="31"/>
    </row>
  </sheetData>
  <mergeCells count="6">
    <mergeCell ref="D1:K2"/>
    <mergeCell ref="D31:E31"/>
    <mergeCell ref="D32:E32"/>
    <mergeCell ref="D33:E33"/>
    <mergeCell ref="D34:E34"/>
    <mergeCell ref="G4:H4"/>
  </mergeCells>
  <phoneticPr fontId="18" type="noConversion"/>
  <conditionalFormatting sqref="D29:I73">
    <cfRule type="expression" dxfId="14" priority="3">
      <formula>OR($E29="Wooden screws", $E29="Machine screws", $E29="Hex bolts", $E29="Misc", $E29="Bearing balls", $E29="Nuts",  $E29="Rivets",  $E29="Washers")</formula>
    </cfRule>
    <cfRule type="expression" dxfId="13" priority="6">
      <formula>OR($E29="Sensor", $E29="MCU", $E29="Communication", $E29="Component", $E29="Motor", $E29="Power", $E29="Hardware", $E29="Connect")</formula>
    </cfRule>
  </conditionalFormatting>
  <conditionalFormatting sqref="F7:F28">
    <cfRule type="expression" dxfId="12" priority="2">
      <formula>$F7&lt;1</formula>
    </cfRule>
  </conditionalFormatting>
  <conditionalFormatting sqref="D29:D209">
    <cfRule type="expression" dxfId="11" priority="1">
      <formula>$H30="Out of Stock"</formula>
    </cfRule>
  </conditionalFormatting>
  <conditionalFormatting sqref="D7:K28">
    <cfRule type="expression" dxfId="10" priority="8">
      <formula>$H7="Out of Stock"</formula>
    </cfRule>
  </conditionalFormatting>
  <conditionalFormatting sqref="D25:D28">
    <cfRule type="expression" dxfId="9" priority="14">
      <formula>$H158="Out of Stock"</formula>
    </cfRule>
  </conditionalFormatting>
  <conditionalFormatting sqref="D10">
    <cfRule type="expression" dxfId="8" priority="19">
      <formula>$H132="Out of Stock"</formula>
    </cfRule>
  </conditionalFormatting>
  <conditionalFormatting sqref="D24">
    <cfRule type="expression" dxfId="7" priority="24">
      <formula>$H156="Out of Stock"</formula>
    </cfRule>
  </conditionalFormatting>
  <conditionalFormatting sqref="D23">
    <cfRule type="expression" dxfId="6" priority="34">
      <formula>$H151="Out of Stock"</formula>
    </cfRule>
  </conditionalFormatting>
  <conditionalFormatting sqref="D20:D22">
    <cfRule type="expression" dxfId="5" priority="39">
      <formula>$H146="Out of Stock"</formula>
    </cfRule>
  </conditionalFormatting>
  <conditionalFormatting sqref="D19">
    <cfRule type="expression" dxfId="4" priority="44">
      <formula>$H144="Out of Stock"</formula>
    </cfRule>
  </conditionalFormatting>
  <conditionalFormatting sqref="D11:D18">
    <cfRule type="expression" dxfId="3" priority="49">
      <formula>$H135="Out of Stock"</formula>
    </cfRule>
  </conditionalFormatting>
  <conditionalFormatting sqref="D7">
    <cfRule type="expression" dxfId="2" priority="54">
      <formula>$H126="Out of Stock"</formula>
    </cfRule>
  </conditionalFormatting>
  <conditionalFormatting sqref="D8">
    <cfRule type="expression" dxfId="1" priority="59">
      <formula>$H128="Out of Stock"</formula>
    </cfRule>
  </conditionalFormatting>
  <conditionalFormatting sqref="D9">
    <cfRule type="expression" dxfId="0" priority="64">
      <formula>$H130="Out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3" name="CommandButton1"/>
      </mc:Fallback>
    </mc:AlternateContent>
    <mc:AlternateContent xmlns:mc="http://schemas.openxmlformats.org/markup-compatibility/2006">
      <mc:Choice Requires="x14">
        <control shapeId="21506" r:id="rId5" name="CommandButton2">
          <controlPr defaultSize="0" autoLine="0" r:id="rId6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5" name="CommandButton2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8" r:id="rId9" name="CommandButton4">
          <controlPr defaultSize="0" disabled="1" autoLine="0" r:id="rId10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9" name="CommandButton4"/>
      </mc:Fallback>
    </mc:AlternateContent>
    <mc:AlternateContent xmlns:mc="http://schemas.openxmlformats.org/markup-compatibility/2006">
      <mc:Choice Requires="x14">
        <control shapeId="21509" r:id="rId11" name="CommandButton5">
          <controlPr defaultSize="0" disabled="1" autoLine="0" r:id="rId12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11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2022-11-01T18:10:16Z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